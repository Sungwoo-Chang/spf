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ung\Dropbox\02. Lab. of Host Defenses\03. 동물실\"/>
    </mc:Choice>
  </mc:AlternateContent>
  <xr:revisionPtr revIDLastSave="0" documentId="13_ncr:1_{C7540AF2-730E-4419-B9C7-D758119D5D53}" xr6:coauthVersionLast="36" xr6:coauthVersionMax="47" xr10:uidLastSave="{00000000-0000-0000-0000-000000000000}"/>
  <bookViews>
    <workbookView xWindow="0" yWindow="495" windowWidth="28800" windowHeight="16245" xr2:uid="{5A73A69A-2AFB-4F3E-AC64-070DD7700CB2}"/>
  </bookViews>
  <sheets>
    <sheet name="Sheet1" sheetId="1" r:id="rId1"/>
    <sheet name="Sheet2" sheetId="2" r:id="rId2"/>
    <sheet name="Sheet3" sheetId="4" r:id="rId3"/>
    <sheet name="Sheet1 (2)" sheetId="3" r:id="rId4"/>
  </sheets>
  <definedNames>
    <definedName name="_xlnm._FilterDatabase" localSheetId="0" hidden="1">Sheet1!$B$1:$R$265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6" i="1" l="1"/>
  <c r="J266" i="1"/>
  <c r="I266" i="1"/>
  <c r="I265" i="1" l="1"/>
  <c r="J265" i="1"/>
  <c r="L265" i="1"/>
  <c r="I257" i="1"/>
  <c r="J257" i="1"/>
  <c r="L257" i="1"/>
  <c r="I258" i="1"/>
  <c r="J258" i="1"/>
  <c r="L258" i="1"/>
  <c r="I259" i="1"/>
  <c r="J259" i="1"/>
  <c r="L259" i="1"/>
  <c r="I260" i="1"/>
  <c r="J260" i="1"/>
  <c r="L260" i="1"/>
  <c r="I261" i="1"/>
  <c r="J261" i="1"/>
  <c r="L261" i="1"/>
  <c r="I262" i="1"/>
  <c r="J262" i="1"/>
  <c r="L262" i="1"/>
  <c r="I263" i="1"/>
  <c r="J263" i="1"/>
  <c r="L263" i="1"/>
  <c r="I264" i="1"/>
  <c r="J264" i="1"/>
  <c r="L264" i="1"/>
  <c r="L256" i="1"/>
  <c r="J256" i="1"/>
  <c r="I256" i="1"/>
  <c r="L218" i="1"/>
  <c r="J218" i="1"/>
  <c r="I218" i="1"/>
  <c r="L200" i="1" l="1"/>
  <c r="J200" i="1"/>
  <c r="I200" i="1"/>
  <c r="L199" i="1"/>
  <c r="J199" i="1"/>
  <c r="I199" i="1"/>
  <c r="L198" i="1"/>
  <c r="J198" i="1"/>
  <c r="I198" i="1"/>
  <c r="L197" i="1"/>
  <c r="J197" i="1"/>
  <c r="I197" i="1"/>
  <c r="L196" i="1"/>
  <c r="J196" i="1"/>
  <c r="I196" i="1"/>
  <c r="L195" i="1"/>
  <c r="J195" i="1"/>
  <c r="I195" i="1"/>
  <c r="J187" i="1"/>
  <c r="I187" i="1"/>
  <c r="L187" i="1"/>
  <c r="L188" i="1"/>
  <c r="J188" i="1"/>
  <c r="I188" i="1"/>
  <c r="L242" i="1" l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41" i="1"/>
  <c r="J241" i="1"/>
  <c r="L241" i="1"/>
  <c r="L240" i="1"/>
  <c r="J240" i="1"/>
  <c r="I240" i="1"/>
  <c r="L239" i="1"/>
  <c r="J239" i="1"/>
  <c r="I239" i="1"/>
  <c r="L238" i="1"/>
  <c r="J238" i="1"/>
  <c r="I238" i="1"/>
  <c r="L237" i="1"/>
  <c r="J237" i="1"/>
  <c r="I237" i="1"/>
  <c r="I235" i="1"/>
  <c r="I234" i="1"/>
  <c r="I233" i="1"/>
  <c r="I232" i="1"/>
  <c r="I231" i="1"/>
  <c r="J235" i="1"/>
  <c r="J234" i="1"/>
  <c r="J233" i="1"/>
  <c r="J232" i="1"/>
  <c r="J231" i="1"/>
  <c r="L235" i="1"/>
  <c r="L234" i="1"/>
  <c r="L233" i="1"/>
  <c r="L232" i="1"/>
  <c r="L231" i="1"/>
  <c r="L186" i="1"/>
  <c r="L61" i="1"/>
  <c r="J61" i="1"/>
  <c r="I61" i="1"/>
  <c r="L60" i="1"/>
  <c r="J60" i="1"/>
  <c r="I60" i="1"/>
  <c r="L69" i="1"/>
  <c r="J69" i="1"/>
  <c r="I69" i="1"/>
  <c r="L64" i="1"/>
  <c r="J64" i="1"/>
  <c r="I64" i="1"/>
  <c r="L63" i="1"/>
  <c r="J63" i="1"/>
  <c r="I63" i="1"/>
  <c r="L133" i="1" l="1"/>
  <c r="J133" i="1"/>
  <c r="I133" i="1"/>
  <c r="L29" i="1" l="1"/>
  <c r="J29" i="1"/>
  <c r="I29" i="1"/>
  <c r="L28" i="1"/>
  <c r="J28" i="1"/>
  <c r="I28" i="1"/>
  <c r="L42" i="1"/>
  <c r="J42" i="1"/>
  <c r="I42" i="1"/>
  <c r="L30" i="1"/>
  <c r="J30" i="1"/>
  <c r="I30" i="1"/>
  <c r="L174" i="1"/>
  <c r="J174" i="1"/>
  <c r="I174" i="1"/>
  <c r="L173" i="1"/>
  <c r="J173" i="1"/>
  <c r="I173" i="1"/>
  <c r="L163" i="1"/>
  <c r="J163" i="1"/>
  <c r="I163" i="1"/>
  <c r="L161" i="1"/>
  <c r="J161" i="1"/>
  <c r="I161" i="1"/>
  <c r="L159" i="1"/>
  <c r="J159" i="1"/>
  <c r="I159" i="1"/>
  <c r="L230" i="1" l="1"/>
  <c r="J230" i="1"/>
  <c r="I230" i="1"/>
  <c r="L229" i="1"/>
  <c r="J229" i="1"/>
  <c r="I229" i="1"/>
  <c r="L228" i="1"/>
  <c r="J228" i="1"/>
  <c r="I228" i="1"/>
  <c r="I227" i="1"/>
  <c r="J227" i="1"/>
  <c r="L227" i="1"/>
  <c r="L226" i="1"/>
  <c r="J226" i="1"/>
  <c r="I226" i="1"/>
  <c r="L225" i="1"/>
  <c r="J225" i="1"/>
  <c r="I225" i="1"/>
  <c r="L224" i="1"/>
  <c r="J224" i="1"/>
  <c r="I224" i="1"/>
  <c r="L223" i="1" l="1"/>
  <c r="J223" i="1"/>
  <c r="I223" i="1"/>
  <c r="L222" i="1"/>
  <c r="J222" i="1"/>
  <c r="I222" i="1"/>
  <c r="L221" i="1"/>
  <c r="J221" i="1"/>
  <c r="I221" i="1"/>
  <c r="L220" i="1"/>
  <c r="J220" i="1"/>
  <c r="I220" i="1"/>
  <c r="L219" i="1"/>
  <c r="J219" i="1"/>
  <c r="I219" i="1"/>
  <c r="L217" i="1"/>
  <c r="J217" i="1"/>
  <c r="I217" i="1"/>
  <c r="D8" i="4"/>
  <c r="E8" i="4" s="1"/>
  <c r="I202" i="1" l="1"/>
  <c r="J202" i="1"/>
  <c r="L202" i="1"/>
  <c r="I203" i="1"/>
  <c r="J203" i="1"/>
  <c r="L203" i="1"/>
  <c r="I204" i="1"/>
  <c r="J204" i="1"/>
  <c r="L204" i="1"/>
  <c r="I205" i="1"/>
  <c r="J205" i="1"/>
  <c r="L205" i="1"/>
  <c r="I206" i="1"/>
  <c r="J206" i="1"/>
  <c r="L206" i="1"/>
  <c r="I207" i="1"/>
  <c r="J207" i="1"/>
  <c r="L207" i="1"/>
  <c r="I208" i="1"/>
  <c r="J208" i="1"/>
  <c r="L208" i="1"/>
  <c r="I209" i="1"/>
  <c r="J209" i="1"/>
  <c r="L209" i="1"/>
  <c r="I210" i="1"/>
  <c r="J210" i="1"/>
  <c r="L210" i="1"/>
  <c r="I211" i="1"/>
  <c r="J211" i="1"/>
  <c r="L211" i="1"/>
  <c r="I212" i="1"/>
  <c r="J212" i="1"/>
  <c r="L212" i="1"/>
  <c r="I213" i="1"/>
  <c r="J213" i="1"/>
  <c r="L213" i="1"/>
  <c r="I214" i="1"/>
  <c r="J214" i="1"/>
  <c r="L214" i="1"/>
  <c r="I215" i="1"/>
  <c r="J215" i="1"/>
  <c r="L215" i="1"/>
  <c r="I216" i="1"/>
  <c r="J216" i="1"/>
  <c r="L216" i="1"/>
  <c r="L201" i="1"/>
  <c r="J201" i="1"/>
  <c r="I201" i="1"/>
  <c r="L194" i="1" l="1"/>
  <c r="J194" i="1"/>
  <c r="I194" i="1"/>
  <c r="L193" i="1"/>
  <c r="J193" i="1"/>
  <c r="I193" i="1"/>
  <c r="L192" i="1"/>
  <c r="J192" i="1"/>
  <c r="I192" i="1"/>
  <c r="L191" i="1"/>
  <c r="J191" i="1"/>
  <c r="I191" i="1"/>
  <c r="L190" i="1"/>
  <c r="J190" i="1"/>
  <c r="I190" i="1"/>
  <c r="L189" i="1"/>
  <c r="I189" i="1"/>
  <c r="J189" i="1"/>
  <c r="I186" i="1" l="1"/>
  <c r="J186" i="1"/>
  <c r="I180" i="1"/>
  <c r="J180" i="1"/>
  <c r="L180" i="1"/>
  <c r="I181" i="1"/>
  <c r="J181" i="1"/>
  <c r="L181" i="1"/>
  <c r="I182" i="1"/>
  <c r="J182" i="1"/>
  <c r="L182" i="1"/>
  <c r="I183" i="1"/>
  <c r="J183" i="1"/>
  <c r="L183" i="1"/>
  <c r="I184" i="1"/>
  <c r="J184" i="1"/>
  <c r="L184" i="1"/>
  <c r="I185" i="1"/>
  <c r="J185" i="1"/>
  <c r="L185" i="1"/>
  <c r="I148" i="1" l="1"/>
  <c r="J148" i="1"/>
  <c r="L148" i="1"/>
  <c r="I149" i="1"/>
  <c r="J149" i="1"/>
  <c r="L149" i="1"/>
  <c r="I150" i="1"/>
  <c r="J150" i="1"/>
  <c r="L150" i="1"/>
  <c r="I151" i="1"/>
  <c r="J151" i="1"/>
  <c r="L151" i="1"/>
  <c r="I152" i="1"/>
  <c r="J152" i="1"/>
  <c r="L152" i="1"/>
  <c r="I153" i="1"/>
  <c r="J153" i="1"/>
  <c r="L153" i="1"/>
  <c r="I154" i="1"/>
  <c r="J154" i="1"/>
  <c r="L154" i="1"/>
  <c r="I155" i="1"/>
  <c r="J155" i="1"/>
  <c r="L155" i="1"/>
  <c r="I156" i="1"/>
  <c r="J156" i="1"/>
  <c r="L156" i="1"/>
  <c r="I157" i="1"/>
  <c r="J157" i="1"/>
  <c r="L157" i="1"/>
  <c r="I158" i="1"/>
  <c r="J158" i="1"/>
  <c r="L158" i="1"/>
  <c r="I160" i="1"/>
  <c r="J160" i="1"/>
  <c r="L160" i="1"/>
  <c r="I162" i="1"/>
  <c r="J162" i="1"/>
  <c r="L162" i="1"/>
  <c r="I164" i="1"/>
  <c r="J164" i="1"/>
  <c r="L164" i="1"/>
  <c r="I165" i="1"/>
  <c r="J165" i="1"/>
  <c r="L165" i="1"/>
  <c r="I166" i="1"/>
  <c r="J166" i="1"/>
  <c r="L166" i="1"/>
  <c r="I167" i="1"/>
  <c r="J167" i="1"/>
  <c r="L167" i="1"/>
  <c r="I168" i="1"/>
  <c r="J168" i="1"/>
  <c r="L168" i="1"/>
  <c r="I169" i="1"/>
  <c r="J169" i="1"/>
  <c r="L169" i="1"/>
  <c r="I170" i="1"/>
  <c r="J170" i="1"/>
  <c r="L170" i="1"/>
  <c r="I171" i="1"/>
  <c r="J171" i="1"/>
  <c r="L171" i="1"/>
  <c r="I172" i="1"/>
  <c r="J172" i="1"/>
  <c r="L172" i="1"/>
  <c r="I175" i="1"/>
  <c r="J175" i="1"/>
  <c r="L175" i="1"/>
  <c r="I176" i="1"/>
  <c r="J176" i="1"/>
  <c r="L176" i="1"/>
  <c r="I177" i="1"/>
  <c r="J177" i="1"/>
  <c r="L177" i="1"/>
  <c r="I178" i="1"/>
  <c r="J178" i="1"/>
  <c r="L178" i="1"/>
  <c r="I179" i="1"/>
  <c r="J179" i="1"/>
  <c r="L179" i="1"/>
  <c r="I136" i="1"/>
  <c r="J136" i="1"/>
  <c r="L136" i="1"/>
  <c r="I137" i="1"/>
  <c r="J137" i="1"/>
  <c r="L137" i="1"/>
  <c r="I138" i="1"/>
  <c r="J138" i="1"/>
  <c r="L138" i="1"/>
  <c r="I139" i="1"/>
  <c r="J139" i="1"/>
  <c r="L139" i="1"/>
  <c r="I140" i="1"/>
  <c r="J140" i="1"/>
  <c r="L140" i="1"/>
  <c r="I141" i="1"/>
  <c r="J141" i="1"/>
  <c r="L141" i="1"/>
  <c r="I142" i="1"/>
  <c r="J142" i="1"/>
  <c r="L142" i="1"/>
  <c r="I143" i="1"/>
  <c r="J143" i="1"/>
  <c r="L143" i="1"/>
  <c r="I144" i="1"/>
  <c r="J144" i="1"/>
  <c r="L144" i="1"/>
  <c r="I145" i="1"/>
  <c r="J145" i="1"/>
  <c r="L145" i="1"/>
  <c r="I146" i="1"/>
  <c r="J146" i="1"/>
  <c r="L146" i="1"/>
  <c r="I147" i="1"/>
  <c r="J147" i="1"/>
  <c r="L147" i="1"/>
  <c r="L128" i="1"/>
  <c r="L129" i="1"/>
  <c r="L131" i="1"/>
  <c r="L132" i="1"/>
  <c r="L134" i="1"/>
  <c r="J134" i="1" l="1"/>
  <c r="I134" i="1"/>
  <c r="J132" i="1"/>
  <c r="I132" i="1"/>
  <c r="J131" i="1"/>
  <c r="I131" i="1"/>
  <c r="J129" i="1" l="1"/>
  <c r="I129" i="1"/>
  <c r="J128" i="1"/>
  <c r="I128" i="1"/>
  <c r="I126" i="1"/>
  <c r="J126" i="1"/>
  <c r="L126" i="1"/>
  <c r="L4" i="1" l="1"/>
  <c r="L3" i="1"/>
  <c r="L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1" i="1"/>
  <c r="L32" i="1"/>
  <c r="L34" i="1"/>
  <c r="L35" i="1"/>
  <c r="L36" i="1"/>
  <c r="L37" i="1"/>
  <c r="L38" i="1"/>
  <c r="L39" i="1"/>
  <c r="L33" i="1"/>
  <c r="L40" i="1"/>
  <c r="L41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2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5" i="1"/>
  <c r="J110" i="1" l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98" i="1"/>
  <c r="J98" i="1"/>
  <c r="I99" i="1"/>
  <c r="J99" i="1"/>
  <c r="I100" i="1"/>
  <c r="J10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97" i="1"/>
  <c r="J97" i="1"/>
  <c r="I95" i="1"/>
  <c r="J95" i="1"/>
  <c r="I96" i="1"/>
  <c r="J96" i="1"/>
  <c r="I43" i="1" l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2" i="1"/>
  <c r="J62" i="1"/>
  <c r="I65" i="1"/>
  <c r="J65" i="1"/>
  <c r="I66" i="1"/>
  <c r="J66" i="1"/>
  <c r="I67" i="1"/>
  <c r="J67" i="1"/>
  <c r="I68" i="1"/>
  <c r="J68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41" i="1"/>
  <c r="J41" i="1"/>
  <c r="I38" i="1"/>
  <c r="J38" i="1"/>
  <c r="I39" i="1"/>
  <c r="J39" i="1"/>
  <c r="I33" i="1"/>
  <c r="J33" i="1"/>
  <c r="I40" i="1"/>
  <c r="J40" i="1"/>
  <c r="I31" i="1"/>
  <c r="J31" i="1"/>
  <c r="I32" i="1"/>
  <c r="J32" i="1"/>
  <c r="I34" i="1"/>
  <c r="J34" i="1"/>
  <c r="I35" i="1"/>
  <c r="J35" i="1"/>
  <c r="I36" i="1"/>
  <c r="J36" i="1"/>
  <c r="I37" i="1"/>
  <c r="J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21" i="1"/>
  <c r="I22" i="1"/>
  <c r="I23" i="1"/>
  <c r="I24" i="1"/>
  <c r="I25" i="1"/>
  <c r="I26" i="1"/>
  <c r="I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</calcChain>
</file>

<file path=xl/sharedStrings.xml><?xml version="1.0" encoding="utf-8"?>
<sst xmlns="http://schemas.openxmlformats.org/spreadsheetml/2006/main" count="1874" uniqueCount="297">
  <si>
    <t>Strain</t>
    <phoneticPr fontId="1" type="noConversion"/>
  </si>
  <si>
    <t>DOB</t>
    <phoneticPr fontId="1" type="noConversion"/>
  </si>
  <si>
    <t>Weeks</t>
    <phoneticPr fontId="1" type="noConversion"/>
  </si>
  <si>
    <t>Sex</t>
    <phoneticPr fontId="1" type="noConversion"/>
  </si>
  <si>
    <t>Location</t>
    <phoneticPr fontId="1" type="noConversion"/>
  </si>
  <si>
    <t>SPF</t>
    <phoneticPr fontId="1" type="noConversion"/>
  </si>
  <si>
    <t>Geno</t>
    <phoneticPr fontId="1" type="noConversion"/>
  </si>
  <si>
    <t>Y</t>
  </si>
  <si>
    <t>Y</t>
    <phoneticPr fontId="1" type="noConversion"/>
  </si>
  <si>
    <t>Days</t>
    <phoneticPr fontId="1" type="noConversion"/>
  </si>
  <si>
    <t>M</t>
  </si>
  <si>
    <t>M</t>
    <phoneticPr fontId="1" type="noConversion"/>
  </si>
  <si>
    <t>F</t>
  </si>
  <si>
    <t>F</t>
    <phoneticPr fontId="1" type="noConversion"/>
  </si>
  <si>
    <t>B-W</t>
    <phoneticPr fontId="1" type="noConversion"/>
  </si>
  <si>
    <t>N</t>
  </si>
  <si>
    <t>N</t>
    <phoneticPr fontId="1" type="noConversion"/>
  </si>
  <si>
    <t>Dead</t>
    <phoneticPr fontId="1" type="noConversion"/>
  </si>
  <si>
    <t>Move to 5F</t>
    <phoneticPr fontId="1" type="noConversion"/>
  </si>
  <si>
    <t>-</t>
    <phoneticPr fontId="1" type="noConversion"/>
  </si>
  <si>
    <t>Genotype</t>
    <phoneticPr fontId="1" type="noConversion"/>
  </si>
  <si>
    <t>f/f</t>
    <phoneticPr fontId="1" type="noConversion"/>
  </si>
  <si>
    <t>+/+, f/f</t>
    <phoneticPr fontId="1" type="noConversion"/>
  </si>
  <si>
    <t>R1</t>
    <phoneticPr fontId="1" type="noConversion"/>
  </si>
  <si>
    <t>L1</t>
    <phoneticPr fontId="1" type="noConversion"/>
  </si>
  <si>
    <t>R2</t>
    <phoneticPr fontId="1" type="noConversion"/>
  </si>
  <si>
    <t>N</t>
    <phoneticPr fontId="1" type="noConversion"/>
  </si>
  <si>
    <t>5F</t>
  </si>
  <si>
    <t>R1</t>
    <phoneticPr fontId="1" type="noConversion"/>
  </si>
  <si>
    <t>R2</t>
    <phoneticPr fontId="1" type="noConversion"/>
  </si>
  <si>
    <t>L1</t>
    <phoneticPr fontId="1" type="noConversion"/>
  </si>
  <si>
    <t>Y</t>
    <phoneticPr fontId="1" type="noConversion"/>
  </si>
  <si>
    <t>F</t>
    <phoneticPr fontId="1" type="noConversion"/>
  </si>
  <si>
    <t>M</t>
    <phoneticPr fontId="1" type="noConversion"/>
  </si>
  <si>
    <t>5F</t>
    <phoneticPr fontId="1" type="noConversion"/>
  </si>
  <si>
    <t>L2</t>
    <phoneticPr fontId="1" type="noConversion"/>
  </si>
  <si>
    <t>NA</t>
    <phoneticPr fontId="1" type="noConversion"/>
  </si>
  <si>
    <t>P1</t>
    <phoneticPr fontId="1" type="noConversion"/>
  </si>
  <si>
    <t>P2</t>
    <phoneticPr fontId="1" type="noConversion"/>
  </si>
  <si>
    <t>D1.1.M</t>
    <phoneticPr fontId="1" type="noConversion"/>
  </si>
  <si>
    <t>E1.1.F</t>
    <phoneticPr fontId="1" type="noConversion"/>
  </si>
  <si>
    <t>E1.B</t>
    <phoneticPr fontId="1" type="noConversion"/>
  </si>
  <si>
    <t>D1.B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</si>
  <si>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</si>
  <si>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</si>
  <si>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</si>
  <si>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</si>
  <si>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A2.B</t>
    <phoneticPr fontId="1" type="noConversion"/>
  </si>
  <si>
    <t>B1.B</t>
    <phoneticPr fontId="1" type="noConversion"/>
  </si>
  <si>
    <t>A1.1.M</t>
    <phoneticPr fontId="1" type="noConversion"/>
  </si>
  <si>
    <t>A1.B</t>
    <phoneticPr fontId="1" type="noConversion"/>
  </si>
  <si>
    <t>A1.2.F</t>
    <phoneticPr fontId="1" type="noConversion"/>
  </si>
  <si>
    <t>B1.1.M</t>
    <phoneticPr fontId="1" type="noConversion"/>
  </si>
  <si>
    <t>C1.1.M</t>
    <phoneticPr fontId="1" type="noConversion"/>
  </si>
  <si>
    <t>C1.B</t>
    <phoneticPr fontId="1" type="noConversion"/>
  </si>
  <si>
    <t>C1.2.F</t>
    <phoneticPr fontId="1" type="noConversion"/>
  </si>
  <si>
    <t>WT</t>
    <phoneticPr fontId="1" type="noConversion"/>
  </si>
  <si>
    <t>C57BL6/J</t>
  </si>
  <si>
    <t>C57BL6/J</t>
    <phoneticPr fontId="1" type="noConversion"/>
  </si>
  <si>
    <t>C1.2.M</t>
    <phoneticPr fontId="1" type="noConversion"/>
  </si>
  <si>
    <t>Exp.</t>
    <phoneticPr fontId="1" type="noConversion"/>
  </si>
  <si>
    <t>Cage</t>
    <phoneticPr fontId="1" type="noConversion"/>
  </si>
  <si>
    <t>#</t>
    <phoneticPr fontId="1" type="noConversion"/>
  </si>
  <si>
    <t>P7</t>
    <phoneticPr fontId="1" type="noConversion"/>
  </si>
  <si>
    <t>P8</t>
    <phoneticPr fontId="1" type="noConversion"/>
  </si>
  <si>
    <t>Exp. 3-1-1</t>
    <phoneticPr fontId="1" type="noConversion"/>
  </si>
  <si>
    <t>Exp. A-2-1</t>
    <phoneticPr fontId="1" type="noConversion"/>
  </si>
  <si>
    <t>Exp. A-1-1</t>
    <phoneticPr fontId="1" type="noConversion"/>
  </si>
  <si>
    <t>Control</t>
    <phoneticPr fontId="1" type="noConversion"/>
  </si>
  <si>
    <t>A2.1.F</t>
    <phoneticPr fontId="1" type="noConversion"/>
  </si>
  <si>
    <t>A2.1.M</t>
    <phoneticPr fontId="1" type="noConversion"/>
  </si>
  <si>
    <t>F</t>
    <phoneticPr fontId="1" type="noConversion"/>
  </si>
  <si>
    <t>M</t>
    <phoneticPr fontId="1" type="noConversion"/>
  </si>
  <si>
    <t>C1.3.F</t>
    <phoneticPr fontId="1" type="noConversion"/>
  </si>
  <si>
    <t>C1.3.M</t>
    <phoneticPr fontId="1" type="noConversion"/>
  </si>
  <si>
    <t>Tmem110 Cre-ERT2 x Cd36 flox</t>
    <phoneticPr fontId="1" type="noConversion"/>
  </si>
  <si>
    <t>Lysm Cre x Cd36 flox</t>
    <phoneticPr fontId="1" type="noConversion"/>
  </si>
  <si>
    <t>Cre/+, f/f</t>
    <phoneticPr fontId="1" type="noConversion"/>
  </si>
  <si>
    <t>실험</t>
    <phoneticPr fontId="1" type="noConversion"/>
  </si>
  <si>
    <t>Breader</t>
    <phoneticPr fontId="1" type="noConversion"/>
  </si>
  <si>
    <t>SPF</t>
    <phoneticPr fontId="1" type="noConversion"/>
  </si>
  <si>
    <t>N</t>
    <phoneticPr fontId="1" type="noConversion"/>
  </si>
  <si>
    <t>+/+; f/+</t>
    <phoneticPr fontId="1" type="noConversion"/>
  </si>
  <si>
    <t>Cre/+; f/+</t>
    <phoneticPr fontId="1" type="noConversion"/>
  </si>
  <si>
    <t>Cre/+; +/+</t>
    <phoneticPr fontId="1" type="noConversion"/>
  </si>
  <si>
    <t>Cre/Cre; +/+</t>
    <phoneticPr fontId="1" type="noConversion"/>
  </si>
  <si>
    <t>Cre/+; f/f</t>
    <phoneticPr fontId="1" type="noConversion"/>
  </si>
  <si>
    <t>+/+; f/f</t>
    <phoneticPr fontId="1" type="noConversion"/>
  </si>
  <si>
    <t>M</t>
    <phoneticPr fontId="1" type="noConversion"/>
  </si>
  <si>
    <t>F</t>
    <phoneticPr fontId="1" type="noConversion"/>
  </si>
  <si>
    <t>E1.2.M</t>
    <phoneticPr fontId="1" type="noConversion"/>
  </si>
  <si>
    <t>E1.2.F</t>
    <phoneticPr fontId="1" type="noConversion"/>
  </si>
  <si>
    <t>C2.B</t>
    <phoneticPr fontId="1" type="noConversion"/>
  </si>
  <si>
    <t>Cre/+; f/+</t>
  </si>
  <si>
    <t>+/+; f/+</t>
  </si>
  <si>
    <t>Cre/+; +/+</t>
  </si>
  <si>
    <t>+/+; f/f</t>
  </si>
  <si>
    <t>Cre/Cre; f/f</t>
  </si>
  <si>
    <t>Exp. 1-7-1</t>
    <phoneticPr fontId="1" type="noConversion"/>
  </si>
  <si>
    <t>to 정우형</t>
    <phoneticPr fontId="1" type="noConversion"/>
  </si>
  <si>
    <t>SPF</t>
    <phoneticPr fontId="1" type="noConversion"/>
  </si>
  <si>
    <t>SPF</t>
    <phoneticPr fontId="1" type="noConversion"/>
  </si>
  <si>
    <t>A3.B</t>
    <phoneticPr fontId="1" type="noConversion"/>
  </si>
  <si>
    <t>f/+</t>
    <phoneticPr fontId="1" type="noConversion"/>
  </si>
  <si>
    <t>f/+</t>
    <phoneticPr fontId="1" type="noConversion"/>
  </si>
  <si>
    <t>왼쪽 tag, 오른쪽 위 punch</t>
    <phoneticPr fontId="1" type="noConversion"/>
  </si>
  <si>
    <t>M</t>
    <phoneticPr fontId="1" type="noConversion"/>
  </si>
  <si>
    <t>A2.2.M</t>
    <phoneticPr fontId="1" type="noConversion"/>
  </si>
  <si>
    <t>A2.2.F</t>
    <phoneticPr fontId="1" type="noConversion"/>
  </si>
  <si>
    <t>F</t>
    <phoneticPr fontId="1" type="noConversion"/>
  </si>
  <si>
    <t>Tmem119-CreERT2; Tsg101-flox</t>
  </si>
  <si>
    <t>Tmem119-CreERT2; Tsg101-flox</t>
    <phoneticPr fontId="1" type="noConversion"/>
  </si>
  <si>
    <t>Tmem119-CreERT2; Cd36-flox</t>
  </si>
  <si>
    <t>Cd36-flox</t>
  </si>
  <si>
    <t>G1.B</t>
    <phoneticPr fontId="1" type="noConversion"/>
  </si>
  <si>
    <t>Cre/+; +/+</t>
    <phoneticPr fontId="1" type="noConversion"/>
  </si>
  <si>
    <t>D1.2.M_1</t>
    <phoneticPr fontId="1" type="noConversion"/>
  </si>
  <si>
    <t>D1.2.M_2</t>
    <phoneticPr fontId="1" type="noConversion"/>
  </si>
  <si>
    <t>D1.2.F_1</t>
    <phoneticPr fontId="1" type="noConversion"/>
  </si>
  <si>
    <t>D1.2.F_2</t>
    <phoneticPr fontId="1" type="noConversion"/>
  </si>
  <si>
    <t>Exp. 1-9-1</t>
    <phoneticPr fontId="1" type="noConversion"/>
  </si>
  <si>
    <t>Cre/Cre; f/+</t>
    <phoneticPr fontId="1" type="noConversion"/>
  </si>
  <si>
    <t>+/+; f/+</t>
    <phoneticPr fontId="1" type="noConversion"/>
  </si>
  <si>
    <t>G3.B</t>
    <phoneticPr fontId="1" type="noConversion"/>
  </si>
  <si>
    <t>from A2.1.F</t>
    <phoneticPr fontId="1" type="noConversion"/>
  </si>
  <si>
    <t>G2.B</t>
    <phoneticPr fontId="1" type="noConversion"/>
  </si>
  <si>
    <t>SPF</t>
    <phoneticPr fontId="1" type="noConversion"/>
  </si>
  <si>
    <t>Tcrd-CreER; Tsg101-flox</t>
    <phoneticPr fontId="1" type="noConversion"/>
  </si>
  <si>
    <t>H2.B</t>
    <phoneticPr fontId="1" type="noConversion"/>
  </si>
  <si>
    <t>F</t>
    <phoneticPr fontId="1" type="noConversion"/>
  </si>
  <si>
    <t>M</t>
    <phoneticPr fontId="1" type="noConversion"/>
  </si>
  <si>
    <t>Cre/+; f/f</t>
    <phoneticPr fontId="1" type="noConversion"/>
  </si>
  <si>
    <t>H3.B</t>
    <phoneticPr fontId="1" type="noConversion"/>
  </si>
  <si>
    <t>H4.B</t>
    <phoneticPr fontId="1" type="noConversion"/>
  </si>
  <si>
    <t>Cre/Cre; f/f</t>
    <phoneticPr fontId="1" type="noConversion"/>
  </si>
  <si>
    <t>N</t>
    <phoneticPr fontId="1" type="noConversion"/>
  </si>
  <si>
    <t>H0.1.M</t>
    <phoneticPr fontId="1" type="noConversion"/>
  </si>
  <si>
    <t>+/+; f/f</t>
    <phoneticPr fontId="1" type="noConversion"/>
  </si>
  <si>
    <t>H0.3.M</t>
    <phoneticPr fontId="1" type="noConversion"/>
  </si>
  <si>
    <t>H0.4.M</t>
    <phoneticPr fontId="1" type="noConversion"/>
  </si>
  <si>
    <t>H0.5.F</t>
    <phoneticPr fontId="1" type="noConversion"/>
  </si>
  <si>
    <t>H1.1.M</t>
    <phoneticPr fontId="1" type="noConversion"/>
  </si>
  <si>
    <t>H1.1.F</t>
    <phoneticPr fontId="1" type="noConversion"/>
  </si>
  <si>
    <t>CD36-flox</t>
  </si>
  <si>
    <t>LysM Cre; Cd36-flox</t>
  </si>
  <si>
    <t>+/+; f/f</t>
    <phoneticPr fontId="1" type="noConversion"/>
  </si>
  <si>
    <t>Cre/Cre; f/f</t>
    <phoneticPr fontId="1" type="noConversion"/>
  </si>
  <si>
    <t>Cre/+; f/f</t>
    <phoneticPr fontId="1" type="noConversion"/>
  </si>
  <si>
    <t>H5.B</t>
    <phoneticPr fontId="1" type="noConversion"/>
  </si>
  <si>
    <t>H6.B</t>
    <phoneticPr fontId="1" type="noConversion"/>
  </si>
  <si>
    <t>H1.2.M</t>
    <phoneticPr fontId="1" type="noConversion"/>
  </si>
  <si>
    <t>H1.2.F</t>
    <phoneticPr fontId="1" type="noConversion"/>
  </si>
  <si>
    <t>H7.B</t>
    <phoneticPr fontId="1" type="noConversion"/>
  </si>
  <si>
    <t>Exp. 4-1-1</t>
    <phoneticPr fontId="1" type="noConversion"/>
  </si>
  <si>
    <t>H9.B</t>
    <phoneticPr fontId="1" type="noConversion"/>
  </si>
  <si>
    <t>H8.B</t>
    <phoneticPr fontId="1" type="noConversion"/>
  </si>
  <si>
    <t>Exp. 4-2-1</t>
    <phoneticPr fontId="1" type="noConversion"/>
  </si>
  <si>
    <t>D1.3.F</t>
    <phoneticPr fontId="1" type="noConversion"/>
  </si>
  <si>
    <t>D1.3.M</t>
    <phoneticPr fontId="1" type="noConversion"/>
  </si>
  <si>
    <t>M</t>
    <phoneticPr fontId="1" type="noConversion"/>
  </si>
  <si>
    <t>5F</t>
    <phoneticPr fontId="1" type="noConversion"/>
  </si>
  <si>
    <t>A5.B</t>
    <phoneticPr fontId="1" type="noConversion"/>
  </si>
  <si>
    <t>A4.B</t>
    <phoneticPr fontId="1" type="noConversion"/>
  </si>
  <si>
    <t>A6.B</t>
    <phoneticPr fontId="1" type="noConversion"/>
  </si>
  <si>
    <t>SPF</t>
    <phoneticPr fontId="1" type="noConversion"/>
  </si>
  <si>
    <t>G0.1.M</t>
    <phoneticPr fontId="1" type="noConversion"/>
  </si>
  <si>
    <t>G0.2.M</t>
    <phoneticPr fontId="1" type="noConversion"/>
  </si>
  <si>
    <t>+/+; f/+</t>
    <phoneticPr fontId="1" type="noConversion"/>
  </si>
  <si>
    <t>+/+; +/+</t>
    <phoneticPr fontId="1" type="noConversion"/>
  </si>
  <si>
    <t>Cre/+; f/+</t>
    <phoneticPr fontId="1" type="noConversion"/>
  </si>
  <si>
    <t>Cre/+; +/+</t>
    <phoneticPr fontId="1" type="noConversion"/>
  </si>
  <si>
    <t>죽이기</t>
    <phoneticPr fontId="1" type="noConversion"/>
  </si>
  <si>
    <t>M</t>
    <phoneticPr fontId="1" type="noConversion"/>
  </si>
  <si>
    <t>Y</t>
    <phoneticPr fontId="1" type="noConversion"/>
  </si>
  <si>
    <t>WT B6</t>
    <phoneticPr fontId="1" type="noConversion"/>
  </si>
  <si>
    <t>To D2.B</t>
    <phoneticPr fontId="1" type="noConversion"/>
  </si>
  <si>
    <t>F4</t>
    <phoneticPr fontId="1" type="noConversion"/>
  </si>
  <si>
    <t>Tcrd Tsg101</t>
    <phoneticPr fontId="1" type="noConversion"/>
  </si>
  <si>
    <t>M1</t>
    <phoneticPr fontId="1" type="noConversion"/>
  </si>
  <si>
    <t>Exp. 1-11-1</t>
    <phoneticPr fontId="1" type="noConversion"/>
  </si>
  <si>
    <t>3 by 3으로 D-5, D-3 Tam/Corn 찌르고 D0 peritoneal cavity에서 Macrophage FACS</t>
    <phoneticPr fontId="1" type="noConversion"/>
  </si>
  <si>
    <t>M6</t>
    <phoneticPr fontId="1" type="noConversion"/>
  </si>
  <si>
    <t>Tmem119 Tsg101</t>
    <phoneticPr fontId="1" type="noConversion"/>
  </si>
  <si>
    <t>F3</t>
    <phoneticPr fontId="1" type="noConversion"/>
  </si>
  <si>
    <t>F2</t>
    <phoneticPr fontId="1" type="noConversion"/>
  </si>
  <si>
    <t>Exp. 1-10-1 (Repeat of Exp. 1-4-3)</t>
    <phoneticPr fontId="1" type="noConversion"/>
  </si>
  <si>
    <t>D-5, D-3에 Tam/Corn 찌르고 D0에 Intestine H&amp;E</t>
    <phoneticPr fontId="1" type="noConversion"/>
  </si>
  <si>
    <t>M2</t>
    <phoneticPr fontId="1" type="noConversion"/>
  </si>
  <si>
    <t>46, 46</t>
    <phoneticPr fontId="1" type="noConversion"/>
  </si>
  <si>
    <t>MF</t>
    <phoneticPr fontId="1" type="noConversion"/>
  </si>
  <si>
    <t>8, 46, 46</t>
    <phoneticPr fontId="1" type="noConversion"/>
  </si>
  <si>
    <t>MFF</t>
    <phoneticPr fontId="1" type="noConversion"/>
  </si>
  <si>
    <t>H4.1.M</t>
    <phoneticPr fontId="1" type="noConversion"/>
  </si>
  <si>
    <t>H3.1.F</t>
    <phoneticPr fontId="1" type="noConversion"/>
  </si>
  <si>
    <t>A2.3.M</t>
    <phoneticPr fontId="1" type="noConversion"/>
  </si>
  <si>
    <t>A2.3.F</t>
    <phoneticPr fontId="1" type="noConversion"/>
  </si>
  <si>
    <t>Tmem119-CreERT2; Tsg101-flox</t>
    <phoneticPr fontId="1" type="noConversion"/>
  </si>
  <si>
    <t>Exp. 1-10-1</t>
    <phoneticPr fontId="1" type="noConversion"/>
  </si>
  <si>
    <t>N</t>
    <phoneticPr fontId="1" type="noConversion"/>
  </si>
  <si>
    <t>죽이기</t>
    <phoneticPr fontId="1" type="noConversion"/>
  </si>
  <si>
    <t>H7.1.X</t>
    <phoneticPr fontId="1" type="noConversion"/>
  </si>
  <si>
    <t>(Cre/+; f/f x +/+; f/f)</t>
  </si>
  <si>
    <t>he/he x wt/he</t>
    <phoneticPr fontId="1" type="noConversion"/>
  </si>
  <si>
    <t>ho/wt x wt/wt</t>
    <phoneticPr fontId="1" type="noConversion"/>
  </si>
  <si>
    <t>M</t>
    <phoneticPr fontId="1" type="noConversion"/>
  </si>
  <si>
    <t>F</t>
    <phoneticPr fontId="1" type="noConversion"/>
  </si>
  <si>
    <t>죽이기</t>
    <phoneticPr fontId="1" type="noConversion"/>
  </si>
  <si>
    <t>order</t>
    <phoneticPr fontId="1" type="noConversion"/>
  </si>
  <si>
    <t>비고</t>
    <phoneticPr fontId="1" type="noConversion"/>
  </si>
  <si>
    <t xml:space="preserve"> (Cre/+; f/f x +/+; f/f)</t>
  </si>
  <si>
    <t>확인해보고 Male, 새끼 없으면 죽임</t>
    <phoneticPr fontId="1" type="noConversion"/>
  </si>
  <si>
    <t>from A2.3.M</t>
    <phoneticPr fontId="1" type="noConversion"/>
  </si>
  <si>
    <t>A7.B</t>
    <phoneticPr fontId="1" type="noConversion"/>
  </si>
  <si>
    <t>from A2.3.F</t>
    <phoneticPr fontId="1" type="noConversion"/>
  </si>
  <si>
    <t>G4.B</t>
    <phoneticPr fontId="1" type="noConversion"/>
  </si>
  <si>
    <t>G5.B</t>
    <phoneticPr fontId="1" type="noConversion"/>
  </si>
  <si>
    <t>Passage: 7, from G2.B</t>
    <phoneticPr fontId="1" type="noConversion"/>
  </si>
  <si>
    <t>Passage: 7, from G1.B</t>
    <phoneticPr fontId="1" type="noConversion"/>
  </si>
  <si>
    <t>-</t>
  </si>
  <si>
    <t>Tamoxifen</t>
    <phoneticPr fontId="1" type="noConversion"/>
  </si>
  <si>
    <t>Corn oil</t>
    <phoneticPr fontId="1" type="noConversion"/>
  </si>
  <si>
    <t>죽이기</t>
    <phoneticPr fontId="1" type="noConversion"/>
  </si>
  <si>
    <t>Tmem119-CreERT2; Cd36-flox</t>
    <phoneticPr fontId="1" type="noConversion"/>
  </si>
  <si>
    <t>Exp. 4-3-1</t>
    <phoneticPr fontId="1" type="noConversion"/>
  </si>
  <si>
    <t>H6.1.F</t>
    <phoneticPr fontId="1" type="noConversion"/>
  </si>
  <si>
    <t>H6.1.M</t>
    <phoneticPr fontId="1" type="noConversion"/>
  </si>
  <si>
    <t>A3.1.M</t>
    <phoneticPr fontId="1" type="noConversion"/>
  </si>
  <si>
    <t>A3.1.F1</t>
    <phoneticPr fontId="1" type="noConversion"/>
  </si>
  <si>
    <t>A3.1.F2</t>
    <phoneticPr fontId="1" type="noConversion"/>
  </si>
  <si>
    <t>R1</t>
    <phoneticPr fontId="1" type="noConversion"/>
  </si>
  <si>
    <t>L1</t>
    <phoneticPr fontId="1" type="noConversion"/>
  </si>
  <si>
    <t>R2</t>
    <phoneticPr fontId="1" type="noConversion"/>
  </si>
  <si>
    <t>L2</t>
    <phoneticPr fontId="1" type="noConversion"/>
  </si>
  <si>
    <t>R1L1</t>
    <phoneticPr fontId="1" type="noConversion"/>
  </si>
  <si>
    <t>R1L2</t>
    <phoneticPr fontId="1" type="noConversion"/>
  </si>
  <si>
    <t>H10.1.X</t>
    <phoneticPr fontId="1" type="noConversion"/>
  </si>
  <si>
    <t>genotyping</t>
    <phoneticPr fontId="1" type="noConversion"/>
  </si>
  <si>
    <t>Weaned; or Provision date</t>
    <phoneticPr fontId="1" type="noConversion"/>
  </si>
  <si>
    <t>+/+; +/+</t>
    <phoneticPr fontId="1" type="noConversion"/>
  </si>
  <si>
    <t>Cre/+; +/+</t>
    <phoneticPr fontId="1" type="noConversion"/>
  </si>
  <si>
    <t>from E1.2.M</t>
    <phoneticPr fontId="1" type="noConversion"/>
  </si>
  <si>
    <t>D2.B</t>
    <phoneticPr fontId="1" type="noConversion"/>
  </si>
  <si>
    <t>D3.B</t>
    <phoneticPr fontId="1" type="noConversion"/>
  </si>
  <si>
    <t>from D1.3.F</t>
    <phoneticPr fontId="1" type="noConversion"/>
  </si>
  <si>
    <t>새끼 다 자라면 죽이기</t>
    <phoneticPr fontId="1" type="noConversion"/>
  </si>
  <si>
    <t>E1.3.M</t>
    <phoneticPr fontId="1" type="noConversion"/>
  </si>
  <si>
    <t>E1.3.F</t>
    <phoneticPr fontId="1" type="noConversion"/>
  </si>
  <si>
    <t>M</t>
    <phoneticPr fontId="1" type="noConversion"/>
  </si>
  <si>
    <t>D1.4.X</t>
    <phoneticPr fontId="1" type="noConversion"/>
  </si>
  <si>
    <t>WT B6</t>
    <phoneticPr fontId="1" type="noConversion"/>
  </si>
  <si>
    <t>Exp. 2-7-1</t>
    <phoneticPr fontId="1" type="noConversion"/>
  </si>
  <si>
    <t>GL261-pLV</t>
    <phoneticPr fontId="1" type="noConversion"/>
  </si>
  <si>
    <t>GL261-CTACK</t>
    <phoneticPr fontId="1" type="noConversion"/>
  </si>
  <si>
    <t>GL261-MYDGF</t>
    <phoneticPr fontId="1" type="noConversion"/>
  </si>
  <si>
    <t>2-7-1-1</t>
    <phoneticPr fontId="1" type="noConversion"/>
  </si>
  <si>
    <t>2-7-1-2</t>
    <phoneticPr fontId="1" type="noConversion"/>
  </si>
  <si>
    <t>2-7-1-3</t>
    <phoneticPr fontId="1" type="noConversion"/>
  </si>
  <si>
    <t>Tamoxifen</t>
    <phoneticPr fontId="1" type="noConversion"/>
  </si>
  <si>
    <t>Exp. 4-4-1</t>
    <phoneticPr fontId="1" type="noConversion"/>
  </si>
  <si>
    <t>A3.2.M</t>
    <phoneticPr fontId="1" type="noConversion"/>
  </si>
  <si>
    <t>A3.2.F</t>
    <phoneticPr fontId="1" type="noConversion"/>
  </si>
  <si>
    <t>genotyping</t>
    <phoneticPr fontId="1" type="noConversion"/>
  </si>
  <si>
    <t>G3.1.F</t>
    <phoneticPr fontId="1" type="noConversion"/>
  </si>
  <si>
    <t>F</t>
    <phoneticPr fontId="1" type="noConversion"/>
  </si>
  <si>
    <t>M</t>
    <phoneticPr fontId="1" type="noConversion"/>
  </si>
  <si>
    <t>Cre/+; f/f</t>
    <phoneticPr fontId="1" type="noConversion"/>
  </si>
  <si>
    <t>+/+; f/f</t>
    <phoneticPr fontId="1" type="noConversion"/>
  </si>
  <si>
    <t>H10.B</t>
    <phoneticPr fontId="1" type="noConversion"/>
  </si>
  <si>
    <t>R1</t>
    <phoneticPr fontId="1" type="noConversion"/>
  </si>
  <si>
    <t>R2</t>
    <phoneticPr fontId="1" type="noConversion"/>
  </si>
  <si>
    <t>L1</t>
    <phoneticPr fontId="1" type="noConversion"/>
  </si>
  <si>
    <t>L2</t>
    <phoneticPr fontId="1" type="noConversion"/>
  </si>
  <si>
    <t>R1L1</t>
    <phoneticPr fontId="1" type="noConversion"/>
  </si>
  <si>
    <t>Exp. 1-11-1</t>
    <phoneticPr fontId="1" type="noConversion"/>
  </si>
  <si>
    <t>NA</t>
    <phoneticPr fontId="1" type="noConversion"/>
  </si>
  <si>
    <t>R1</t>
    <phoneticPr fontId="1" type="noConversion"/>
  </si>
  <si>
    <t>R2</t>
    <phoneticPr fontId="1" type="noConversion"/>
  </si>
  <si>
    <t>L1</t>
    <phoneticPr fontId="1" type="noConversion"/>
  </si>
  <si>
    <t>L2</t>
    <phoneticPr fontId="1" type="noConversion"/>
  </si>
  <si>
    <t>R1L1</t>
    <phoneticPr fontId="1" type="noConversion"/>
  </si>
  <si>
    <t>corn oil</t>
    <phoneticPr fontId="1" type="noConversion"/>
  </si>
  <si>
    <t>Tamoxifen</t>
    <phoneticPr fontId="1" type="noConversion"/>
  </si>
  <si>
    <t>Corn oil</t>
    <phoneticPr fontId="1" type="noConversion"/>
  </si>
  <si>
    <t>H9.1.F</t>
    <phoneticPr fontId="1" type="noConversion"/>
  </si>
  <si>
    <t>H9.1.M</t>
    <phoneticPr fontId="1" type="noConversion"/>
  </si>
  <si>
    <t>(Cre/+; f/f x +/+; f/f)</t>
    <phoneticPr fontId="1" type="noConversion"/>
  </si>
  <si>
    <t>(Cre/+; f/f x +/+; f/f) from H9.B</t>
    <phoneticPr fontId="1" type="noConversion"/>
  </si>
  <si>
    <t>(Cre/+; f/f x +/+; f/f) from H8.B</t>
    <phoneticPr fontId="1" type="noConversion"/>
  </si>
  <si>
    <t>F</t>
    <phoneticPr fontId="1" type="noConversion"/>
  </si>
  <si>
    <t>M</t>
    <phoneticPr fontId="1" type="noConversion"/>
  </si>
  <si>
    <t>SPF</t>
  </si>
  <si>
    <t>A7.1.X</t>
    <phoneticPr fontId="1" type="noConversion"/>
  </si>
  <si>
    <t>4/1 이후 개체수 확인</t>
    <phoneticPr fontId="1" type="noConversion"/>
  </si>
  <si>
    <t>wt/ho x he/ho</t>
    <phoneticPr fontId="1" type="noConversion"/>
  </si>
  <si>
    <t>D2.1.X</t>
    <phoneticPr fontId="1" type="noConversion"/>
  </si>
  <si>
    <t>마리수 확인</t>
    <phoneticPr fontId="1" type="noConversion"/>
  </si>
  <si>
    <t>Weaning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</si>
</sst>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4" fillId="5" borderId="2" applyNumberFormat="0" applyFont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7" fillId="4" borderId="1" xfId="3">
      <alignment vertical="center"/>
    </xf>
    <xf numFmtId="49" fontId="5" fillId="2" borderId="0" xfId="1" applyNumberFormat="1">
      <alignment vertical="center"/>
    </xf>
    <xf numFmtId="49" fontId="6" fillId="3" borderId="0" xfId="2" applyNumberFormat="1">
      <alignment vertical="center"/>
    </xf>
    <xf numFmtId="49" fontId="0" fillId="5" borderId="2" xfId="4" applyNumberFormat="1" applyFont="1">
      <alignment vertical="center"/>
    </xf>
    <xf numFmtId="49" fontId="8" fillId="0" borderId="0" xfId="0" applyNumberFormat="1" applyFont="1">
      <alignment vertical="center"/>
    </xf>
    <xf numFmtId="49" fontId="6" fillId="3" borderId="0" xfId="2" applyNumberFormat="1" applyBorder="1">
      <alignment vertical="center"/>
    </xf>
    <xf numFmtId="49" fontId="3" fillId="0" borderId="0" xfId="0" applyNumberFormat="1" applyFont="1">
      <alignment vertical="center"/>
    </xf>
    <xf numFmtId="0" fontId="9" fillId="0" borderId="0" xfId="0" applyFont="1">
      <alignment vertical="center"/>
    </xf>
    <xf numFmtId="0" fontId="0" fillId="5" borderId="2" xfId="4" applyFont="1">
      <alignment vertical="center"/>
    </xf>
    <xf numFmtId="0" fontId="5" fillId="2" borderId="0" xfId="1">
      <alignment vertical="center"/>
    </xf>
    <xf numFmtId="0" fontId="6" fillId="3" borderId="0" xfId="2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5">
    <cellStyle name="계산" xfId="3" builtinId="22"/>
    <cellStyle name="나쁨" xfId="2" builtinId="27"/>
    <cellStyle name="메모" xfId="4" builtinId="10"/>
    <cellStyle name="좋음" xfId="1" builtinId="26"/>
    <cellStyle name="표준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6</xdr:row>
      <xdr:rowOff>171450</xdr:rowOff>
    </xdr:from>
    <xdr:ext cx="5053115" cy="141243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5C4116-8E1A-4079-835C-B17615074B37}"/>
            </a:ext>
          </a:extLst>
        </xdr:cNvPr>
        <xdr:cNvSpPr txBox="1"/>
      </xdr:nvSpPr>
      <xdr:spPr>
        <a:xfrm>
          <a:off x="1362075" y="1428750"/>
          <a:ext cx="5053115" cy="1412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5</a:t>
          </a:r>
          <a:r>
            <a:rPr lang="ko-KR" altLang="en-US" sz="1100" b="1"/>
            <a:t>층 동물실 전수조사 한번씩 하고 브리더 젊은 애들로 다시 구성</a:t>
          </a:r>
          <a:endParaRPr lang="en-US" altLang="ko-KR" sz="1100" b="1"/>
        </a:p>
        <a:p>
          <a:r>
            <a:rPr lang="en-US" altLang="ko-KR" sz="1100" b="1"/>
            <a:t>12</a:t>
          </a:r>
          <a:r>
            <a:rPr lang="ko-KR" altLang="en-US" sz="1100" b="1"/>
            <a:t>주령 정도의 쥐들로 브리더 구성하고 남은 </a:t>
          </a:r>
          <a:r>
            <a:rPr lang="en-US" altLang="ko-KR" sz="1100" b="1"/>
            <a:t>12</a:t>
          </a:r>
          <a:r>
            <a:rPr lang="ko-KR" altLang="en-US" sz="1100" b="1"/>
            <a:t>주령 이상의 늙은 쥐는 일단 처분</a:t>
          </a:r>
          <a:endParaRPr lang="en-US" altLang="ko-KR" sz="1100" b="1"/>
        </a:p>
        <a:p>
          <a:r>
            <a:rPr lang="ko-KR" altLang="en-US" sz="1100" b="1"/>
            <a:t>더 젊은 쥐들은 생각해봄</a:t>
          </a:r>
          <a:endParaRPr lang="en-US" altLang="ko-KR" sz="1100" b="1"/>
        </a:p>
        <a:p>
          <a:endParaRPr lang="en-US" altLang="ko-KR" sz="1100" b="1"/>
        </a:p>
        <a:p>
          <a:r>
            <a:rPr lang="en-US" altLang="ko-KR" sz="1100" b="1"/>
            <a:t>Tamoxifen </a:t>
          </a:r>
          <a:r>
            <a:rPr lang="ko-KR" altLang="en-US" sz="1100" b="1"/>
            <a:t>처리 후 복강 세척액에서 </a:t>
          </a:r>
          <a:r>
            <a:rPr lang="en-US" altLang="ko-KR" sz="1100" b="1"/>
            <a:t>macrophage</a:t>
          </a:r>
          <a:r>
            <a:rPr lang="ko-KR" altLang="en-US" sz="1100" b="1"/>
            <a:t>를 보는 실험</a:t>
          </a:r>
          <a:r>
            <a:rPr lang="en-US" altLang="ko-KR" sz="1100" b="1"/>
            <a:t>. </a:t>
          </a:r>
          <a:r>
            <a:rPr lang="ko-KR" altLang="en-US" sz="1100" b="1"/>
            <a:t>실행</a:t>
          </a:r>
          <a:endParaRPr lang="en-US" altLang="ko-KR" sz="1100" b="1"/>
        </a:p>
        <a:p>
          <a:endParaRPr lang="en-US" altLang="ko-KR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A6DC-E91C-489F-8F50-989C4712FA7C}">
  <sheetPr filterMode="1"/>
  <dimension ref="B1:R267"/>
  <sheetViews>
    <sheetView tabSelected="1" zoomScaleNormal="100" workbookViewId="0">
      <pane ySplit="1" topLeftCell="A2" activePane="bottomLeft" state="frozen"/>
      <selection pane="bottomLeft" activeCell="Q235" sqref="Q235"/>
    </sheetView>
  </sheetViews>
  <sheetFormatPr defaultColWidth="8.875" defaultRowHeight="16.5" x14ac:dyDescent="0.3"/>
  <cols>
    <col min="2" max="2" width="10.5" customWidth="1"/>
    <col min="3" max="3" width="29.125" bestFit="1" customWidth="1"/>
    <col min="4" max="4" width="8" customWidth="1"/>
    <col min="5" max="5" width="7.625" customWidth="1"/>
    <col min="6" max="6" width="12.5" style="5" customWidth="1"/>
    <col min="7" max="7" width="6.375" customWidth="1"/>
    <col min="8" max="8" width="11.125" style="2" bestFit="1" customWidth="1"/>
    <col min="9" max="10" width="9" customWidth="1"/>
    <col min="11" max="11" width="11.125" style="2" customWidth="1"/>
    <col min="12" max="12" width="8.125" customWidth="1"/>
    <col min="14" max="14" width="11.375" style="2" customWidth="1"/>
    <col min="15" max="15" width="12.625" style="2" customWidth="1"/>
    <col min="16" max="16" width="13.125" style="5" customWidth="1"/>
    <col min="17" max="17" width="23.75" customWidth="1"/>
    <col min="18" max="18" width="15" customWidth="1"/>
  </cols>
  <sheetData>
    <row r="1" spans="2:18" x14ac:dyDescent="0.3">
      <c r="B1" s="1" t="s">
        <v>4</v>
      </c>
      <c r="C1" s="1" t="s">
        <v>0</v>
      </c>
      <c r="D1" s="1" t="s">
        <v>62</v>
      </c>
      <c r="E1" s="1" t="s">
        <v>6</v>
      </c>
      <c r="F1" s="6" t="s">
        <v>20</v>
      </c>
      <c r="G1" s="1" t="s">
        <v>3</v>
      </c>
      <c r="H1" s="3" t="s">
        <v>1</v>
      </c>
      <c r="I1" s="8" t="s">
        <v>2</v>
      </c>
      <c r="J1" s="8" t="s">
        <v>9</v>
      </c>
      <c r="K1" s="3" t="s">
        <v>237</v>
      </c>
      <c r="L1" s="8" t="s">
        <v>14</v>
      </c>
      <c r="M1" s="1" t="s">
        <v>61</v>
      </c>
      <c r="N1" s="3" t="s">
        <v>18</v>
      </c>
      <c r="O1" s="3" t="s">
        <v>17</v>
      </c>
      <c r="P1" s="6" t="s">
        <v>60</v>
      </c>
      <c r="Q1" s="1" t="s">
        <v>207</v>
      </c>
      <c r="R1" t="s">
        <v>208</v>
      </c>
    </row>
    <row r="2" spans="2:18" hidden="1" x14ac:dyDescent="0.3">
      <c r="B2" t="s">
        <v>5</v>
      </c>
      <c r="C2" t="s">
        <v>112</v>
      </c>
      <c r="E2" t="s">
        <v>8</v>
      </c>
      <c r="F2" s="1" t="s">
        <v>93</v>
      </c>
      <c r="G2" t="s">
        <v>11</v>
      </c>
      <c r="H2" s="2">
        <v>45135</v>
      </c>
      <c r="I2" s="4">
        <f ca="1">IF(QUOTIENT(_xlfn.DAYS(TODAY(),H2), 7)&lt;1000, QUOTIENT(_xlfn.DAYS(TODAY(),H2), 7), "-")</f>
        <v>34</v>
      </c>
      <c r="J2" s="4">
        <f ca="1">IF(_xlfn.DAYS(TODAY(),H2)&lt;10000, _xlfn.DAYS(TODAY(),H2), "-")</f>
        <v>243</v>
      </c>
      <c r="L2" s="4" t="str">
        <f t="shared" ref="L2:L29" si="0">IF(_xlfn.DAYS(K2,H2)&gt;0, _xlfn.DAYS(K2,H2), "-")</f>
        <v>-</v>
      </c>
      <c r="M2" t="s">
        <v>47</v>
      </c>
      <c r="N2" s="7"/>
      <c r="O2" s="7">
        <v>45299</v>
      </c>
      <c r="P2"/>
    </row>
    <row r="3" spans="2:18" hidden="1" x14ac:dyDescent="0.3">
      <c r="B3" t="s">
        <v>5</v>
      </c>
      <c r="C3" t="s">
        <v>112</v>
      </c>
      <c r="E3" t="s">
        <v>8</v>
      </c>
      <c r="F3" s="10" t="s">
        <v>93</v>
      </c>
      <c r="G3" t="s">
        <v>13</v>
      </c>
      <c r="H3" s="2">
        <v>45135</v>
      </c>
      <c r="I3" s="4">
        <f t="shared" ref="I3:I69" ca="1" si="1">IF(QUOTIENT(_xlfn.DAYS(TODAY(),H3), 7)&lt;1000, QUOTIENT(_xlfn.DAYS(TODAY(),H3), 7), "-")</f>
        <v>34</v>
      </c>
      <c r="J3" s="4">
        <f t="shared" ref="J3:J29" ca="1" si="2">IF(_xlfn.DAYS(TODAY(),H3)&lt;10000, _xlfn.DAYS(TODAY(),H3), "-")</f>
        <v>243</v>
      </c>
      <c r="L3" s="4" t="str">
        <f t="shared" si="0"/>
        <v>-</v>
      </c>
      <c r="M3" s="4" t="s">
        <v>47</v>
      </c>
      <c r="N3" s="7"/>
      <c r="O3" s="7">
        <v>45351</v>
      </c>
      <c r="P3"/>
      <c r="Q3" t="s">
        <v>210</v>
      </c>
    </row>
    <row r="4" spans="2:18" hidden="1" x14ac:dyDescent="0.3">
      <c r="B4" t="s">
        <v>5</v>
      </c>
      <c r="C4" t="s">
        <v>112</v>
      </c>
      <c r="E4" t="s">
        <v>8</v>
      </c>
      <c r="F4" s="10" t="s">
        <v>93</v>
      </c>
      <c r="G4" t="s">
        <v>13</v>
      </c>
      <c r="H4" s="2">
        <v>45135</v>
      </c>
      <c r="I4" s="4">
        <f t="shared" ca="1" si="1"/>
        <v>34</v>
      </c>
      <c r="J4" s="4">
        <f t="shared" ca="1" si="2"/>
        <v>243</v>
      </c>
      <c r="L4" s="4" t="str">
        <f t="shared" si="0"/>
        <v>-</v>
      </c>
      <c r="M4" s="4" t="s">
        <v>47</v>
      </c>
      <c r="N4" s="7"/>
      <c r="O4" s="7">
        <v>45351</v>
      </c>
      <c r="P4"/>
      <c r="Q4" t="s">
        <v>210</v>
      </c>
    </row>
    <row r="5" spans="2:18" hidden="1" x14ac:dyDescent="0.3">
      <c r="B5" t="s">
        <v>5</v>
      </c>
      <c r="C5" t="s">
        <v>112</v>
      </c>
      <c r="D5">
        <v>871</v>
      </c>
      <c r="E5" t="s">
        <v>16</v>
      </c>
      <c r="F5" s="5" t="s">
        <v>84</v>
      </c>
      <c r="G5" t="s">
        <v>71</v>
      </c>
      <c r="H5" s="2">
        <v>45266</v>
      </c>
      <c r="I5" s="4">
        <f t="shared" ca="1" si="1"/>
        <v>16</v>
      </c>
      <c r="J5" s="4">
        <f t="shared" ca="1" si="2"/>
        <v>112</v>
      </c>
      <c r="K5" s="2">
        <v>45293</v>
      </c>
      <c r="L5" s="4">
        <f t="shared" si="0"/>
        <v>27</v>
      </c>
      <c r="M5" t="s">
        <v>69</v>
      </c>
      <c r="N5" s="7"/>
      <c r="O5" s="7">
        <v>45309</v>
      </c>
      <c r="P5"/>
    </row>
    <row r="6" spans="2:18" hidden="1" x14ac:dyDescent="0.3">
      <c r="B6" t="s">
        <v>5</v>
      </c>
      <c r="C6" t="s">
        <v>112</v>
      </c>
      <c r="D6">
        <v>688</v>
      </c>
      <c r="E6" s="1" t="s">
        <v>15</v>
      </c>
      <c r="F6" t="s">
        <v>86</v>
      </c>
      <c r="G6" t="s">
        <v>71</v>
      </c>
      <c r="H6" s="2">
        <v>45266</v>
      </c>
      <c r="I6" s="4">
        <f t="shared" ca="1" si="1"/>
        <v>16</v>
      </c>
      <c r="J6" s="4">
        <f t="shared" ca="1" si="2"/>
        <v>112</v>
      </c>
      <c r="K6" s="2">
        <v>45293</v>
      </c>
      <c r="L6" s="4">
        <f t="shared" si="0"/>
        <v>27</v>
      </c>
      <c r="M6" t="s">
        <v>69</v>
      </c>
      <c r="N6" s="7"/>
      <c r="O6" s="7">
        <v>45315</v>
      </c>
      <c r="P6"/>
      <c r="Q6" t="s">
        <v>105</v>
      </c>
    </row>
    <row r="7" spans="2:18" hidden="1" x14ac:dyDescent="0.3">
      <c r="B7" t="s">
        <v>5</v>
      </c>
      <c r="C7" t="s">
        <v>112</v>
      </c>
      <c r="D7">
        <v>921</v>
      </c>
      <c r="E7" t="s">
        <v>15</v>
      </c>
      <c r="F7" s="5" t="s">
        <v>83</v>
      </c>
      <c r="G7" t="s">
        <v>72</v>
      </c>
      <c r="H7" s="2">
        <v>45266</v>
      </c>
      <c r="I7" s="4">
        <f t="shared" ca="1" si="1"/>
        <v>16</v>
      </c>
      <c r="J7" s="4">
        <f t="shared" ca="1" si="2"/>
        <v>112</v>
      </c>
      <c r="K7" s="2">
        <v>45293</v>
      </c>
      <c r="L7" s="4">
        <f t="shared" si="0"/>
        <v>27</v>
      </c>
      <c r="M7" s="4" t="s">
        <v>70</v>
      </c>
      <c r="N7" s="7"/>
      <c r="O7" s="7"/>
      <c r="P7"/>
    </row>
    <row r="8" spans="2:18" hidden="1" x14ac:dyDescent="0.3">
      <c r="B8" t="s">
        <v>5</v>
      </c>
      <c r="C8" t="s">
        <v>112</v>
      </c>
      <c r="D8">
        <v>922</v>
      </c>
      <c r="E8" t="s">
        <v>15</v>
      </c>
      <c r="F8" s="5" t="s">
        <v>84</v>
      </c>
      <c r="G8" t="s">
        <v>72</v>
      </c>
      <c r="H8" s="2">
        <v>45266</v>
      </c>
      <c r="I8" s="4">
        <f t="shared" ca="1" si="1"/>
        <v>16</v>
      </c>
      <c r="J8" s="4">
        <f t="shared" ca="1" si="2"/>
        <v>112</v>
      </c>
      <c r="K8" s="2">
        <v>45293</v>
      </c>
      <c r="L8" s="4">
        <f t="shared" si="0"/>
        <v>27</v>
      </c>
      <c r="M8" t="s">
        <v>70</v>
      </c>
      <c r="N8" s="7"/>
      <c r="O8" s="7">
        <v>45309</v>
      </c>
      <c r="P8"/>
    </row>
    <row r="9" spans="2:18" hidden="1" x14ac:dyDescent="0.3">
      <c r="B9" t="s">
        <v>5</v>
      </c>
      <c r="C9" t="s">
        <v>112</v>
      </c>
      <c r="D9">
        <v>923</v>
      </c>
      <c r="E9" t="s">
        <v>15</v>
      </c>
      <c r="F9" s="5" t="s">
        <v>85</v>
      </c>
      <c r="G9" t="s">
        <v>72</v>
      </c>
      <c r="H9" s="2">
        <v>45266</v>
      </c>
      <c r="I9" s="4">
        <f t="shared" ca="1" si="1"/>
        <v>16</v>
      </c>
      <c r="J9" s="4">
        <f t="shared" ca="1" si="2"/>
        <v>112</v>
      </c>
      <c r="K9" s="2">
        <v>45293</v>
      </c>
      <c r="L9" s="4">
        <f t="shared" si="0"/>
        <v>27</v>
      </c>
      <c r="M9" t="s">
        <v>70</v>
      </c>
      <c r="N9" s="7"/>
      <c r="O9" s="7">
        <v>45309</v>
      </c>
      <c r="P9"/>
    </row>
    <row r="10" spans="2:18" hidden="1" x14ac:dyDescent="0.3">
      <c r="B10" t="s">
        <v>5</v>
      </c>
      <c r="C10" t="s">
        <v>112</v>
      </c>
      <c r="E10" t="s">
        <v>7</v>
      </c>
      <c r="F10" s="1" t="s">
        <v>93</v>
      </c>
      <c r="G10" t="s">
        <v>10</v>
      </c>
      <c r="H10" s="2">
        <v>45135</v>
      </c>
      <c r="I10" s="4">
        <f t="shared" ca="1" si="1"/>
        <v>34</v>
      </c>
      <c r="J10" s="4">
        <f t="shared" ca="1" si="2"/>
        <v>243</v>
      </c>
      <c r="L10" s="4" t="str">
        <f t="shared" si="0"/>
        <v>-</v>
      </c>
      <c r="M10" t="s">
        <v>48</v>
      </c>
      <c r="N10" s="7"/>
      <c r="O10" s="7">
        <v>45299</v>
      </c>
      <c r="P10"/>
    </row>
    <row r="11" spans="2:18" hidden="1" x14ac:dyDescent="0.3">
      <c r="B11" t="s">
        <v>5</v>
      </c>
      <c r="C11" t="s">
        <v>112</v>
      </c>
      <c r="E11" t="s">
        <v>7</v>
      </c>
      <c r="F11" s="1" t="s">
        <v>93</v>
      </c>
      <c r="G11" t="s">
        <v>12</v>
      </c>
      <c r="I11" s="4" t="str">
        <f t="shared" ca="1" si="1"/>
        <v>-</v>
      </c>
      <c r="J11" s="4" t="str">
        <f t="shared" ca="1" si="2"/>
        <v>-</v>
      </c>
      <c r="L11" s="4" t="str">
        <f t="shared" si="0"/>
        <v>-</v>
      </c>
      <c r="M11" t="s">
        <v>48</v>
      </c>
      <c r="N11" s="7"/>
      <c r="O11" s="7">
        <v>45299</v>
      </c>
      <c r="P11"/>
    </row>
    <row r="12" spans="2:18" hidden="1" x14ac:dyDescent="0.3">
      <c r="B12" t="s">
        <v>5</v>
      </c>
      <c r="C12" t="s">
        <v>112</v>
      </c>
      <c r="E12" t="s">
        <v>7</v>
      </c>
      <c r="F12" s="1" t="s">
        <v>93</v>
      </c>
      <c r="G12" t="s">
        <v>12</v>
      </c>
      <c r="I12" s="4" t="str">
        <f t="shared" ca="1" si="1"/>
        <v>-</v>
      </c>
      <c r="J12" s="4" t="str">
        <f t="shared" ca="1" si="2"/>
        <v>-</v>
      </c>
      <c r="L12" s="4" t="str">
        <f t="shared" si="0"/>
        <v>-</v>
      </c>
      <c r="M12" t="s">
        <v>48</v>
      </c>
      <c r="N12" s="7"/>
      <c r="O12" s="7">
        <v>45299</v>
      </c>
      <c r="P12"/>
    </row>
    <row r="13" spans="2:18" hidden="1" x14ac:dyDescent="0.3">
      <c r="B13" t="s">
        <v>5</v>
      </c>
      <c r="C13" t="s">
        <v>112</v>
      </c>
      <c r="D13">
        <v>972</v>
      </c>
      <c r="E13" t="s">
        <v>7</v>
      </c>
      <c r="F13" s="5" t="s">
        <v>93</v>
      </c>
      <c r="G13" t="s">
        <v>11</v>
      </c>
      <c r="H13" s="2">
        <v>45047</v>
      </c>
      <c r="I13" s="4">
        <f t="shared" ca="1" si="1"/>
        <v>47</v>
      </c>
      <c r="J13" s="4">
        <f t="shared" ca="1" si="2"/>
        <v>331</v>
      </c>
      <c r="L13" s="4" t="str">
        <f t="shared" si="0"/>
        <v>-</v>
      </c>
      <c r="M13" s="4" t="s">
        <v>49</v>
      </c>
      <c r="N13" s="7"/>
      <c r="O13" s="7">
        <v>45349</v>
      </c>
      <c r="P13"/>
      <c r="Q13" t="s">
        <v>199</v>
      </c>
    </row>
    <row r="14" spans="2:18" hidden="1" x14ac:dyDescent="0.3">
      <c r="B14" t="s">
        <v>5</v>
      </c>
      <c r="C14" t="s">
        <v>112</v>
      </c>
      <c r="D14">
        <v>973</v>
      </c>
      <c r="E14" t="s">
        <v>7</v>
      </c>
      <c r="F14" s="5" t="s">
        <v>93</v>
      </c>
      <c r="G14" t="s">
        <v>11</v>
      </c>
      <c r="H14" s="2">
        <v>45047</v>
      </c>
      <c r="I14" s="4">
        <f t="shared" ca="1" si="1"/>
        <v>47</v>
      </c>
      <c r="J14" s="4">
        <f t="shared" ca="1" si="2"/>
        <v>331</v>
      </c>
      <c r="L14" s="4" t="str">
        <f t="shared" si="0"/>
        <v>-</v>
      </c>
      <c r="M14" s="4" t="s">
        <v>49</v>
      </c>
      <c r="N14" s="7"/>
      <c r="O14" s="7">
        <v>45349</v>
      </c>
      <c r="P14"/>
      <c r="Q14" t="s">
        <v>199</v>
      </c>
    </row>
    <row r="15" spans="2:18" hidden="1" x14ac:dyDescent="0.3">
      <c r="B15" t="s">
        <v>5</v>
      </c>
      <c r="C15" t="s">
        <v>112</v>
      </c>
      <c r="D15">
        <v>974</v>
      </c>
      <c r="E15" t="s">
        <v>7</v>
      </c>
      <c r="F15" s="5" t="s">
        <v>93</v>
      </c>
      <c r="G15" t="s">
        <v>11</v>
      </c>
      <c r="H15" s="2">
        <v>45047</v>
      </c>
      <c r="I15" s="4">
        <f t="shared" ca="1" si="1"/>
        <v>47</v>
      </c>
      <c r="J15" s="4">
        <f t="shared" ca="1" si="2"/>
        <v>331</v>
      </c>
      <c r="L15" s="4" t="str">
        <f t="shared" si="0"/>
        <v>-</v>
      </c>
      <c r="M15" s="4" t="s">
        <v>49</v>
      </c>
      <c r="O15" s="7">
        <v>45349</v>
      </c>
      <c r="P15"/>
      <c r="Q15" t="s">
        <v>199</v>
      </c>
    </row>
    <row r="16" spans="2:18" hidden="1" x14ac:dyDescent="0.3">
      <c r="B16" t="s">
        <v>5</v>
      </c>
      <c r="C16" t="s">
        <v>112</v>
      </c>
      <c r="D16">
        <v>975</v>
      </c>
      <c r="E16" t="s">
        <v>7</v>
      </c>
      <c r="F16" s="10" t="s">
        <v>93</v>
      </c>
      <c r="G16" t="s">
        <v>11</v>
      </c>
      <c r="H16" s="2">
        <v>45047</v>
      </c>
      <c r="I16" s="4">
        <f t="shared" ca="1" si="1"/>
        <v>47</v>
      </c>
      <c r="J16" s="4">
        <f t="shared" ca="1" si="2"/>
        <v>331</v>
      </c>
      <c r="L16" s="4" t="str">
        <f t="shared" si="0"/>
        <v>-</v>
      </c>
      <c r="M16" s="4" t="s">
        <v>102</v>
      </c>
      <c r="O16" s="2">
        <v>45327</v>
      </c>
      <c r="P16"/>
    </row>
    <row r="17" spans="2:17" hidden="1" x14ac:dyDescent="0.3">
      <c r="B17" t="s">
        <v>5</v>
      </c>
      <c r="C17" t="s">
        <v>112</v>
      </c>
      <c r="D17">
        <v>970</v>
      </c>
      <c r="E17" t="s">
        <v>7</v>
      </c>
      <c r="F17" s="5" t="s">
        <v>93</v>
      </c>
      <c r="G17" t="s">
        <v>11</v>
      </c>
      <c r="H17" s="2">
        <v>45047</v>
      </c>
      <c r="I17" s="4">
        <f t="shared" ca="1" si="1"/>
        <v>47</v>
      </c>
      <c r="J17" s="4">
        <f t="shared" ca="1" si="2"/>
        <v>331</v>
      </c>
      <c r="L17" s="4" t="str">
        <f t="shared" si="0"/>
        <v>-</v>
      </c>
      <c r="M17" s="4" t="s">
        <v>49</v>
      </c>
      <c r="O17" s="7">
        <v>45349</v>
      </c>
      <c r="P17"/>
      <c r="Q17" t="s">
        <v>199</v>
      </c>
    </row>
    <row r="18" spans="2:17" hidden="1" x14ac:dyDescent="0.3">
      <c r="B18" t="s">
        <v>5</v>
      </c>
      <c r="C18" t="s">
        <v>112</v>
      </c>
      <c r="E18" t="s">
        <v>7</v>
      </c>
      <c r="F18" s="1" t="s">
        <v>93</v>
      </c>
      <c r="G18" t="s">
        <v>11</v>
      </c>
      <c r="H18" s="2">
        <v>45091</v>
      </c>
      <c r="I18" s="4">
        <f t="shared" ca="1" si="1"/>
        <v>41</v>
      </c>
      <c r="J18" s="4">
        <f t="shared" ca="1" si="2"/>
        <v>287</v>
      </c>
      <c r="L18" s="4" t="str">
        <f t="shared" si="0"/>
        <v>-</v>
      </c>
      <c r="M18" t="s">
        <v>50</v>
      </c>
      <c r="O18" s="2">
        <v>45299</v>
      </c>
      <c r="P18"/>
    </row>
    <row r="19" spans="2:17" hidden="1" x14ac:dyDescent="0.3">
      <c r="B19" t="s">
        <v>5</v>
      </c>
      <c r="C19" t="s">
        <v>112</v>
      </c>
      <c r="E19" t="s">
        <v>7</v>
      </c>
      <c r="F19" s="1" t="s">
        <v>94</v>
      </c>
      <c r="G19" t="s">
        <v>13</v>
      </c>
      <c r="I19" s="4" t="str">
        <f t="shared" ca="1" si="1"/>
        <v>-</v>
      </c>
      <c r="J19" s="4" t="str">
        <f t="shared" ca="1" si="2"/>
        <v>-</v>
      </c>
      <c r="L19" s="4" t="str">
        <f t="shared" si="0"/>
        <v>-</v>
      </c>
      <c r="M19" t="s">
        <v>50</v>
      </c>
      <c r="O19" s="2">
        <v>45299</v>
      </c>
      <c r="P19"/>
    </row>
    <row r="20" spans="2:17" hidden="1" x14ac:dyDescent="0.3">
      <c r="B20" t="s">
        <v>5</v>
      </c>
      <c r="C20" t="s">
        <v>112</v>
      </c>
      <c r="E20" t="s">
        <v>8</v>
      </c>
      <c r="F20" s="10" t="s">
        <v>95</v>
      </c>
      <c r="G20" t="s">
        <v>13</v>
      </c>
      <c r="H20" s="2">
        <v>45115</v>
      </c>
      <c r="I20" s="4">
        <f t="shared" ca="1" si="1"/>
        <v>37</v>
      </c>
      <c r="J20" s="4">
        <f t="shared" ca="1" si="2"/>
        <v>263</v>
      </c>
      <c r="K20" s="2">
        <v>45112</v>
      </c>
      <c r="L20" s="4" t="str">
        <f t="shared" si="0"/>
        <v>-</v>
      </c>
      <c r="M20" t="s">
        <v>51</v>
      </c>
      <c r="O20" s="2">
        <v>45299</v>
      </c>
      <c r="P20"/>
    </row>
    <row r="21" spans="2:17" hidden="1" x14ac:dyDescent="0.3">
      <c r="B21" t="s">
        <v>5</v>
      </c>
      <c r="C21" t="s">
        <v>143</v>
      </c>
      <c r="E21" t="s">
        <v>7</v>
      </c>
      <c r="F21" s="9" t="s">
        <v>21</v>
      </c>
      <c r="G21" t="s">
        <v>11</v>
      </c>
      <c r="H21" s="2">
        <v>45154</v>
      </c>
      <c r="I21" s="4">
        <f ca="1">IF(QUOTIENT(_xlfn.DAYS(TODAY(),H21), 7)&lt;1000, QUOTIENT(_xlfn.DAYS(TODAY(),H21), 7), "-")</f>
        <v>32</v>
      </c>
      <c r="J21" s="4">
        <f t="shared" ca="1" si="2"/>
        <v>224</v>
      </c>
      <c r="K21" s="2">
        <v>45176</v>
      </c>
      <c r="L21" s="4">
        <f t="shared" si="0"/>
        <v>22</v>
      </c>
      <c r="M21" t="s">
        <v>52</v>
      </c>
      <c r="O21" s="2">
        <v>45306</v>
      </c>
      <c r="P21"/>
      <c r="Q21" s="2" t="s">
        <v>99</v>
      </c>
    </row>
    <row r="22" spans="2:17" hidden="1" x14ac:dyDescent="0.3">
      <c r="B22" t="s">
        <v>5</v>
      </c>
      <c r="C22" t="s">
        <v>143</v>
      </c>
      <c r="E22" t="s">
        <v>7</v>
      </c>
      <c r="F22" s="9" t="s">
        <v>21</v>
      </c>
      <c r="G22" t="s">
        <v>11</v>
      </c>
      <c r="H22" s="2">
        <v>45154</v>
      </c>
      <c r="I22" s="4">
        <f t="shared" ca="1" si="1"/>
        <v>32</v>
      </c>
      <c r="J22" s="4">
        <f t="shared" ca="1" si="2"/>
        <v>224</v>
      </c>
      <c r="K22" s="2">
        <v>45176</v>
      </c>
      <c r="L22" s="4">
        <f t="shared" si="0"/>
        <v>22</v>
      </c>
      <c r="M22" t="s">
        <v>52</v>
      </c>
      <c r="O22" s="2">
        <v>45306</v>
      </c>
      <c r="P22"/>
      <c r="Q22" s="2" t="s">
        <v>99</v>
      </c>
    </row>
    <row r="23" spans="2:17" hidden="1" x14ac:dyDescent="0.3">
      <c r="B23" t="s">
        <v>5</v>
      </c>
      <c r="C23" t="s">
        <v>143</v>
      </c>
      <c r="E23" t="s">
        <v>7</v>
      </c>
      <c r="F23" s="11" t="s">
        <v>21</v>
      </c>
      <c r="G23" t="s">
        <v>11</v>
      </c>
      <c r="H23" s="2">
        <v>45154</v>
      </c>
      <c r="I23" s="4">
        <f t="shared" ca="1" si="1"/>
        <v>32</v>
      </c>
      <c r="J23" s="4">
        <f t="shared" ca="1" si="2"/>
        <v>224</v>
      </c>
      <c r="K23" s="2">
        <v>45176</v>
      </c>
      <c r="L23" s="4">
        <f t="shared" si="0"/>
        <v>22</v>
      </c>
      <c r="M23" t="s">
        <v>52</v>
      </c>
      <c r="O23" s="2">
        <v>45306</v>
      </c>
      <c r="P23"/>
      <c r="Q23" s="2" t="s">
        <v>99</v>
      </c>
    </row>
    <row r="24" spans="2:17" hidden="1" x14ac:dyDescent="0.3">
      <c r="B24" t="s">
        <v>5</v>
      </c>
      <c r="C24" t="s">
        <v>143</v>
      </c>
      <c r="E24" s="1" t="s">
        <v>16</v>
      </c>
      <c r="F24" s="5" t="s">
        <v>103</v>
      </c>
      <c r="G24" t="s">
        <v>11</v>
      </c>
      <c r="H24" s="2">
        <v>45203</v>
      </c>
      <c r="I24" s="4">
        <f t="shared" ca="1" si="1"/>
        <v>25</v>
      </c>
      <c r="J24" s="4">
        <f t="shared" ca="1" si="2"/>
        <v>175</v>
      </c>
      <c r="K24" s="2">
        <v>45229</v>
      </c>
      <c r="L24" s="4">
        <f t="shared" si="0"/>
        <v>26</v>
      </c>
      <c r="M24" t="s">
        <v>53</v>
      </c>
      <c r="O24" s="2">
        <v>45310</v>
      </c>
      <c r="P24"/>
    </row>
    <row r="25" spans="2:17" hidden="1" x14ac:dyDescent="0.3">
      <c r="B25" t="s">
        <v>5</v>
      </c>
      <c r="C25" t="s">
        <v>144</v>
      </c>
      <c r="E25" s="1" t="s">
        <v>16</v>
      </c>
      <c r="F25" s="12" t="s">
        <v>93</v>
      </c>
      <c r="G25" t="s">
        <v>11</v>
      </c>
      <c r="H25" s="2">
        <v>45203</v>
      </c>
      <c r="I25" s="4">
        <f t="shared" ca="1" si="1"/>
        <v>25</v>
      </c>
      <c r="J25" s="4">
        <f t="shared" ca="1" si="2"/>
        <v>175</v>
      </c>
      <c r="K25" s="2">
        <v>45229</v>
      </c>
      <c r="L25" s="4">
        <f t="shared" si="0"/>
        <v>26</v>
      </c>
      <c r="M25" t="s">
        <v>53</v>
      </c>
      <c r="O25" s="2">
        <v>45310</v>
      </c>
      <c r="P25"/>
    </row>
    <row r="26" spans="2:17" hidden="1" x14ac:dyDescent="0.3">
      <c r="B26" t="s">
        <v>5</v>
      </c>
      <c r="C26" t="s">
        <v>112</v>
      </c>
      <c r="E26" t="s">
        <v>8</v>
      </c>
      <c r="F26" s="10" t="s">
        <v>82</v>
      </c>
      <c r="G26" t="s">
        <v>13</v>
      </c>
      <c r="H26" s="2">
        <v>45203</v>
      </c>
      <c r="I26" s="4">
        <f t="shared" ca="1" si="1"/>
        <v>25</v>
      </c>
      <c r="J26" s="4">
        <f t="shared" ca="1" si="2"/>
        <v>175</v>
      </c>
      <c r="K26" s="2">
        <v>45229</v>
      </c>
      <c r="L26" s="4">
        <f t="shared" si="0"/>
        <v>26</v>
      </c>
      <c r="M26" s="4" t="s">
        <v>102</v>
      </c>
      <c r="O26" s="2">
        <v>45364</v>
      </c>
      <c r="P26"/>
      <c r="Q26" s="2" t="s">
        <v>171</v>
      </c>
    </row>
    <row r="27" spans="2:17" hidden="1" x14ac:dyDescent="0.3">
      <c r="B27" t="s">
        <v>5</v>
      </c>
      <c r="C27" t="s">
        <v>112</v>
      </c>
      <c r="E27" t="s">
        <v>8</v>
      </c>
      <c r="F27" s="10" t="s">
        <v>82</v>
      </c>
      <c r="G27" t="s">
        <v>13</v>
      </c>
      <c r="H27" s="2">
        <v>45203</v>
      </c>
      <c r="I27" s="4">
        <f t="shared" ca="1" si="1"/>
        <v>25</v>
      </c>
      <c r="J27" s="4">
        <f t="shared" ca="1" si="2"/>
        <v>175</v>
      </c>
      <c r="K27" s="2">
        <v>45229</v>
      </c>
      <c r="L27" s="4">
        <f t="shared" si="0"/>
        <v>26</v>
      </c>
      <c r="M27" s="4" t="s">
        <v>102</v>
      </c>
      <c r="O27" s="2">
        <v>45364</v>
      </c>
      <c r="P27"/>
      <c r="Q27" s="2" t="s">
        <v>171</v>
      </c>
    </row>
    <row r="28" spans="2:17" hidden="1" x14ac:dyDescent="0.3">
      <c r="B28" t="s">
        <v>5</v>
      </c>
      <c r="C28" t="s">
        <v>112</v>
      </c>
      <c r="D28">
        <v>687</v>
      </c>
      <c r="E28" s="4" t="s">
        <v>16</v>
      </c>
      <c r="F28" s="13" t="s">
        <v>87</v>
      </c>
      <c r="G28" s="4" t="s">
        <v>13</v>
      </c>
      <c r="H28" s="2">
        <v>45266</v>
      </c>
      <c r="I28" s="4">
        <f t="shared" ca="1" si="1"/>
        <v>16</v>
      </c>
      <c r="J28" s="4">
        <f t="shared" ca="1" si="2"/>
        <v>112</v>
      </c>
      <c r="K28" s="2">
        <v>45293</v>
      </c>
      <c r="L28" s="4">
        <f t="shared" si="0"/>
        <v>27</v>
      </c>
      <c r="M28" s="4" t="s">
        <v>162</v>
      </c>
      <c r="P28"/>
      <c r="Q28" s="2"/>
    </row>
    <row r="29" spans="2:17" hidden="1" x14ac:dyDescent="0.3">
      <c r="B29" t="s">
        <v>5</v>
      </c>
      <c r="C29" t="s">
        <v>112</v>
      </c>
      <c r="D29">
        <v>646</v>
      </c>
      <c r="E29" t="s">
        <v>16</v>
      </c>
      <c r="F29" s="10" t="s">
        <v>86</v>
      </c>
      <c r="G29" s="4" t="s">
        <v>11</v>
      </c>
      <c r="H29" s="2">
        <v>45291</v>
      </c>
      <c r="I29" s="4">
        <f t="shared" ca="1" si="1"/>
        <v>12</v>
      </c>
      <c r="J29" s="4">
        <f t="shared" ca="1" si="2"/>
        <v>87</v>
      </c>
      <c r="K29" s="2">
        <v>45315</v>
      </c>
      <c r="L29" s="4">
        <f t="shared" si="0"/>
        <v>24</v>
      </c>
      <c r="M29" s="4" t="s">
        <v>162</v>
      </c>
      <c r="P29"/>
      <c r="Q29" s="2"/>
    </row>
    <row r="30" spans="2:17" hidden="1" x14ac:dyDescent="0.3">
      <c r="B30" t="s">
        <v>5</v>
      </c>
      <c r="C30" t="s">
        <v>113</v>
      </c>
      <c r="E30" t="s">
        <v>7</v>
      </c>
      <c r="F30" s="10" t="s">
        <v>21</v>
      </c>
      <c r="G30" t="s">
        <v>11</v>
      </c>
      <c r="H30" s="2">
        <v>45154</v>
      </c>
      <c r="I30" s="4">
        <f t="shared" ref="I30" ca="1" si="3">IF(QUOTIENT(_xlfn.DAYS(TODAY(),H30), 7)&lt;1000, QUOTIENT(_xlfn.DAYS(TODAY(),H30), 7), "-")</f>
        <v>32</v>
      </c>
      <c r="J30" s="4">
        <f t="shared" ref="J30" ca="1" si="4">IF(_xlfn.DAYS(TODAY(),H30)&lt;10000, _xlfn.DAYS(TODAY(),H30), "-")</f>
        <v>224</v>
      </c>
      <c r="K30" s="2">
        <v>45176</v>
      </c>
      <c r="L30" s="4">
        <f t="shared" ref="L30" si="5">IF(_xlfn.DAYS(K30,H30)&gt;0, _xlfn.DAYS(K30,H30), "-")</f>
        <v>22</v>
      </c>
      <c r="M30" s="4" t="s">
        <v>161</v>
      </c>
      <c r="O30" s="2">
        <v>45351</v>
      </c>
      <c r="P30"/>
      <c r="Q30" s="2" t="s">
        <v>206</v>
      </c>
    </row>
    <row r="31" spans="2:17" hidden="1" x14ac:dyDescent="0.3">
      <c r="B31" t="s">
        <v>5</v>
      </c>
      <c r="C31" t="s">
        <v>113</v>
      </c>
      <c r="E31" t="s">
        <v>8</v>
      </c>
      <c r="F31" s="10" t="s">
        <v>103</v>
      </c>
      <c r="G31" t="s">
        <v>13</v>
      </c>
      <c r="H31" s="2">
        <v>45203</v>
      </c>
      <c r="I31" s="4">
        <f t="shared" ca="1" si="1"/>
        <v>25</v>
      </c>
      <c r="J31" s="4">
        <f t="shared" ref="J31:J37" ca="1" si="6">IF(_xlfn.DAYS(TODAY(),H31)&lt;10000, _xlfn.DAYS(TODAY(),H31), "-")</f>
        <v>175</v>
      </c>
      <c r="K31" s="2">
        <v>45229</v>
      </c>
      <c r="L31" s="4">
        <f t="shared" ref="L31:L97" si="7">IF(_xlfn.DAYS(K31,H31)&gt;0, _xlfn.DAYS(K31,H31), "-")</f>
        <v>26</v>
      </c>
      <c r="M31" s="4" t="s">
        <v>161</v>
      </c>
      <c r="O31" s="2">
        <v>45351</v>
      </c>
      <c r="P31"/>
      <c r="Q31" s="2" t="s">
        <v>206</v>
      </c>
    </row>
    <row r="32" spans="2:17" hidden="1" x14ac:dyDescent="0.3">
      <c r="B32" t="s">
        <v>5</v>
      </c>
      <c r="C32" t="s">
        <v>144</v>
      </c>
      <c r="E32" t="s">
        <v>8</v>
      </c>
      <c r="F32" s="1" t="s">
        <v>95</v>
      </c>
      <c r="G32" t="s">
        <v>11</v>
      </c>
      <c r="I32" s="4" t="str">
        <f t="shared" ca="1" si="1"/>
        <v>-</v>
      </c>
      <c r="J32" s="4" t="str">
        <f t="shared" ca="1" si="6"/>
        <v>-</v>
      </c>
      <c r="L32" s="4" t="str">
        <f t="shared" si="7"/>
        <v>-</v>
      </c>
      <c r="M32" t="s">
        <v>54</v>
      </c>
      <c r="O32" s="2">
        <v>45299</v>
      </c>
      <c r="P32"/>
    </row>
    <row r="33" spans="2:17" hidden="1" x14ac:dyDescent="0.3">
      <c r="B33" t="s">
        <v>5</v>
      </c>
      <c r="C33" t="s">
        <v>144</v>
      </c>
      <c r="D33" t="s">
        <v>24</v>
      </c>
      <c r="E33" t="s">
        <v>8</v>
      </c>
      <c r="F33" s="1" t="s">
        <v>83</v>
      </c>
      <c r="G33" t="s">
        <v>11</v>
      </c>
      <c r="H33" s="2">
        <v>45231</v>
      </c>
      <c r="I33" s="4">
        <f ca="1">IF(QUOTIENT(_xlfn.DAYS(TODAY(),H33), 7)&lt;1000, QUOTIENT(_xlfn.DAYS(TODAY(),H33), 7), "-")</f>
        <v>21</v>
      </c>
      <c r="J33" s="4">
        <f ca="1">IF(_xlfn.DAYS(TODAY(),H33)&lt;10000, _xlfn.DAYS(TODAY(),H33), "-")</f>
        <v>147</v>
      </c>
      <c r="K33" s="2">
        <v>45257</v>
      </c>
      <c r="L33" s="4">
        <f>IF(_xlfn.DAYS(K33,H33)&gt;0, _xlfn.DAYS(K33,H33), "-")</f>
        <v>26</v>
      </c>
      <c r="M33" t="s">
        <v>92</v>
      </c>
      <c r="O33" s="2">
        <v>45306</v>
      </c>
      <c r="P33"/>
      <c r="Q33" s="2" t="s">
        <v>99</v>
      </c>
    </row>
    <row r="34" spans="2:17" hidden="1" x14ac:dyDescent="0.3">
      <c r="B34" t="s">
        <v>5</v>
      </c>
      <c r="C34" t="s">
        <v>144</v>
      </c>
      <c r="E34" t="s">
        <v>8</v>
      </c>
      <c r="F34" s="6" t="s">
        <v>96</v>
      </c>
      <c r="G34" t="s">
        <v>13</v>
      </c>
      <c r="I34" s="4" t="str">
        <f t="shared" ca="1" si="1"/>
        <v>-</v>
      </c>
      <c r="J34" s="4" t="str">
        <f t="shared" ca="1" si="6"/>
        <v>-</v>
      </c>
      <c r="L34" s="4" t="str">
        <f t="shared" si="7"/>
        <v>-</v>
      </c>
      <c r="M34" t="s">
        <v>92</v>
      </c>
      <c r="O34" s="2">
        <v>45306</v>
      </c>
      <c r="P34"/>
      <c r="Q34" s="2" t="s">
        <v>99</v>
      </c>
    </row>
    <row r="35" spans="2:17" hidden="1" x14ac:dyDescent="0.3">
      <c r="B35" t="s">
        <v>5</v>
      </c>
      <c r="C35" t="s">
        <v>144</v>
      </c>
      <c r="E35" t="s">
        <v>8</v>
      </c>
      <c r="F35" s="6" t="s">
        <v>96</v>
      </c>
      <c r="G35" t="s">
        <v>13</v>
      </c>
      <c r="I35" s="4" t="str">
        <f t="shared" ca="1" si="1"/>
        <v>-</v>
      </c>
      <c r="J35" s="4" t="str">
        <f t="shared" ca="1" si="6"/>
        <v>-</v>
      </c>
      <c r="L35" s="4" t="str">
        <f t="shared" si="7"/>
        <v>-</v>
      </c>
      <c r="M35" t="s">
        <v>92</v>
      </c>
      <c r="O35" s="2">
        <v>45306</v>
      </c>
      <c r="P35"/>
      <c r="Q35" s="2" t="s">
        <v>99</v>
      </c>
    </row>
    <row r="36" spans="2:17" hidden="1" x14ac:dyDescent="0.3">
      <c r="B36" t="s">
        <v>5</v>
      </c>
      <c r="C36" t="s">
        <v>144</v>
      </c>
      <c r="D36" t="s">
        <v>23</v>
      </c>
      <c r="E36" t="s">
        <v>8</v>
      </c>
      <c r="F36" s="5" t="s">
        <v>83</v>
      </c>
      <c r="G36" t="s">
        <v>13</v>
      </c>
      <c r="H36" s="2">
        <v>45231</v>
      </c>
      <c r="I36" s="4">
        <f t="shared" ca="1" si="1"/>
        <v>21</v>
      </c>
      <c r="J36" s="4">
        <f t="shared" ca="1" si="6"/>
        <v>147</v>
      </c>
      <c r="K36" s="2">
        <v>45257</v>
      </c>
      <c r="L36" s="4">
        <f t="shared" si="7"/>
        <v>26</v>
      </c>
      <c r="M36" t="s">
        <v>55</v>
      </c>
      <c r="O36" s="2">
        <v>45306</v>
      </c>
      <c r="P36"/>
      <c r="Q36" s="2" t="s">
        <v>99</v>
      </c>
    </row>
    <row r="37" spans="2:17" hidden="1" x14ac:dyDescent="0.3">
      <c r="B37" t="s">
        <v>5</v>
      </c>
      <c r="C37" t="s">
        <v>144</v>
      </c>
      <c r="D37" t="s">
        <v>24</v>
      </c>
      <c r="E37" t="s">
        <v>8</v>
      </c>
      <c r="F37" s="5" t="s">
        <v>83</v>
      </c>
      <c r="G37" t="s">
        <v>13</v>
      </c>
      <c r="H37" s="2">
        <v>45231</v>
      </c>
      <c r="I37" s="4">
        <f t="shared" ca="1" si="1"/>
        <v>21</v>
      </c>
      <c r="J37" s="4">
        <f t="shared" ca="1" si="6"/>
        <v>147</v>
      </c>
      <c r="K37" s="2">
        <v>45257</v>
      </c>
      <c r="L37" s="4">
        <f t="shared" si="7"/>
        <v>26</v>
      </c>
      <c r="M37" t="s">
        <v>55</v>
      </c>
      <c r="O37" s="2">
        <v>45306</v>
      </c>
      <c r="P37"/>
      <c r="Q37" s="2" t="s">
        <v>99</v>
      </c>
    </row>
    <row r="38" spans="2:17" hidden="1" x14ac:dyDescent="0.3">
      <c r="B38" t="s">
        <v>5</v>
      </c>
      <c r="C38" t="s">
        <v>144</v>
      </c>
      <c r="D38" t="s">
        <v>25</v>
      </c>
      <c r="E38" t="s">
        <v>8</v>
      </c>
      <c r="F38" s="5" t="s">
        <v>82</v>
      </c>
      <c r="G38" t="s">
        <v>13</v>
      </c>
      <c r="H38" s="2">
        <v>45231</v>
      </c>
      <c r="I38" s="4">
        <f t="shared" ca="1" si="1"/>
        <v>21</v>
      </c>
      <c r="J38" s="4">
        <f t="shared" ref="J38:J40" ca="1" si="8">IF(_xlfn.DAYS(TODAY(),H38)&lt;10000, _xlfn.DAYS(TODAY(),H38), "-")</f>
        <v>147</v>
      </c>
      <c r="K38" s="2">
        <v>45257</v>
      </c>
      <c r="L38" s="4">
        <f t="shared" si="7"/>
        <v>26</v>
      </c>
      <c r="M38" t="s">
        <v>55</v>
      </c>
      <c r="O38" s="2">
        <v>45306</v>
      </c>
      <c r="P38"/>
      <c r="Q38" s="2" t="s">
        <v>99</v>
      </c>
    </row>
    <row r="39" spans="2:17" hidden="1" x14ac:dyDescent="0.3">
      <c r="B39" t="s">
        <v>5</v>
      </c>
      <c r="C39" t="s">
        <v>143</v>
      </c>
      <c r="D39" t="s">
        <v>23</v>
      </c>
      <c r="E39" t="s">
        <v>8</v>
      </c>
      <c r="F39" s="5" t="s">
        <v>104</v>
      </c>
      <c r="G39" t="s">
        <v>11</v>
      </c>
      <c r="H39" s="2">
        <v>45231</v>
      </c>
      <c r="I39" s="4">
        <f t="shared" ca="1" si="1"/>
        <v>21</v>
      </c>
      <c r="J39" s="4">
        <f t="shared" ca="1" si="8"/>
        <v>147</v>
      </c>
      <c r="K39" s="2">
        <v>45257</v>
      </c>
      <c r="L39" s="4">
        <f t="shared" si="7"/>
        <v>26</v>
      </c>
      <c r="M39" t="s">
        <v>59</v>
      </c>
      <c r="O39" s="2">
        <v>45315</v>
      </c>
      <c r="P39"/>
    </row>
    <row r="40" spans="2:17" hidden="1" x14ac:dyDescent="0.3">
      <c r="B40" t="s">
        <v>5</v>
      </c>
      <c r="C40" t="s">
        <v>144</v>
      </c>
      <c r="D40" t="s">
        <v>25</v>
      </c>
      <c r="E40" t="s">
        <v>8</v>
      </c>
      <c r="F40" s="12" t="s">
        <v>83</v>
      </c>
      <c r="G40" t="s">
        <v>11</v>
      </c>
      <c r="H40" s="2">
        <v>45231</v>
      </c>
      <c r="I40" s="4">
        <f t="shared" ca="1" si="1"/>
        <v>21</v>
      </c>
      <c r="J40" s="4">
        <f t="shared" ca="1" si="8"/>
        <v>147</v>
      </c>
      <c r="K40" s="2">
        <v>45257</v>
      </c>
      <c r="L40" s="4">
        <f t="shared" si="7"/>
        <v>26</v>
      </c>
      <c r="M40" t="s">
        <v>59</v>
      </c>
      <c r="O40" s="2">
        <v>45315</v>
      </c>
      <c r="P40"/>
    </row>
    <row r="41" spans="2:17" hidden="1" x14ac:dyDescent="0.3">
      <c r="B41" t="s">
        <v>5</v>
      </c>
      <c r="C41" t="s">
        <v>112</v>
      </c>
      <c r="D41">
        <v>798</v>
      </c>
      <c r="E41" t="s">
        <v>8</v>
      </c>
      <c r="F41" s="5" t="s">
        <v>95</v>
      </c>
      <c r="G41" t="s">
        <v>13</v>
      </c>
      <c r="H41" s="2">
        <v>45135</v>
      </c>
      <c r="I41" s="4">
        <f t="shared" ca="1" si="1"/>
        <v>34</v>
      </c>
      <c r="J41" s="4">
        <f t="shared" ref="J41:J42" ca="1" si="9">IF(_xlfn.DAYS(TODAY(),H41)&lt;10000, _xlfn.DAYS(TODAY(),H41), "-")</f>
        <v>243</v>
      </c>
      <c r="L41" s="4" t="str">
        <f t="shared" si="7"/>
        <v>-</v>
      </c>
      <c r="M41" t="s">
        <v>19</v>
      </c>
      <c r="O41" s="7">
        <v>45309</v>
      </c>
      <c r="P41"/>
    </row>
    <row r="42" spans="2:17" hidden="1" x14ac:dyDescent="0.3">
      <c r="B42" t="s">
        <v>5</v>
      </c>
      <c r="C42" t="s">
        <v>112</v>
      </c>
      <c r="E42" t="s">
        <v>7</v>
      </c>
      <c r="F42" s="10" t="s">
        <v>87</v>
      </c>
      <c r="G42" t="s">
        <v>11</v>
      </c>
      <c r="H42" s="2">
        <v>45154</v>
      </c>
      <c r="I42" s="4">
        <f t="shared" ref="I42" ca="1" si="10">IF(QUOTIENT(_xlfn.DAYS(TODAY(),H42), 7)&lt;1000, QUOTIENT(_xlfn.DAYS(TODAY(),H42), 7), "-")</f>
        <v>32</v>
      </c>
      <c r="J42" s="4">
        <f t="shared" ca="1" si="9"/>
        <v>224</v>
      </c>
      <c r="K42" s="2">
        <v>45176</v>
      </c>
      <c r="L42" s="4">
        <f t="shared" si="7"/>
        <v>22</v>
      </c>
      <c r="M42" s="4" t="s">
        <v>163</v>
      </c>
      <c r="O42" s="7">
        <v>45355</v>
      </c>
      <c r="P42"/>
      <c r="Q42" t="s">
        <v>221</v>
      </c>
    </row>
    <row r="43" spans="2:17" hidden="1" x14ac:dyDescent="0.3">
      <c r="B43" t="s">
        <v>5</v>
      </c>
      <c r="C43" t="s">
        <v>112</v>
      </c>
      <c r="D43">
        <v>799</v>
      </c>
      <c r="E43" t="s">
        <v>8</v>
      </c>
      <c r="F43" s="10" t="s">
        <v>93</v>
      </c>
      <c r="G43" t="s">
        <v>13</v>
      </c>
      <c r="H43" s="2">
        <v>45135</v>
      </c>
      <c r="I43" s="4">
        <f t="shared" ca="1" si="1"/>
        <v>34</v>
      </c>
      <c r="J43" s="4">
        <f t="shared" ref="J43:J94" ca="1" si="11">IF(_xlfn.DAYS(TODAY(),H43)&lt;10000, _xlfn.DAYS(TODAY(),H43), "-")</f>
        <v>243</v>
      </c>
      <c r="L43" s="4" t="str">
        <f t="shared" si="7"/>
        <v>-</v>
      </c>
      <c r="M43" s="4" t="s">
        <v>163</v>
      </c>
      <c r="O43" s="2">
        <v>45355</v>
      </c>
      <c r="P43"/>
      <c r="Q43" s="2" t="s">
        <v>221</v>
      </c>
    </row>
    <row r="44" spans="2:17" hidden="1" x14ac:dyDescent="0.3">
      <c r="B44" t="s">
        <v>5</v>
      </c>
      <c r="C44" t="s">
        <v>144</v>
      </c>
      <c r="D44">
        <v>815</v>
      </c>
      <c r="E44" t="s">
        <v>8</v>
      </c>
      <c r="F44" s="11" t="s">
        <v>83</v>
      </c>
      <c r="G44" t="s">
        <v>71</v>
      </c>
      <c r="H44" s="2">
        <v>45267</v>
      </c>
      <c r="I44" s="4">
        <f t="shared" ca="1" si="1"/>
        <v>15</v>
      </c>
      <c r="J44" s="4">
        <f t="shared" ca="1" si="11"/>
        <v>111</v>
      </c>
      <c r="K44" s="2">
        <v>45293</v>
      </c>
      <c r="L44" s="4">
        <f t="shared" si="7"/>
        <v>26</v>
      </c>
      <c r="M44" t="s">
        <v>73</v>
      </c>
      <c r="O44" s="7">
        <v>45309</v>
      </c>
      <c r="P44"/>
    </row>
    <row r="45" spans="2:17" hidden="1" x14ac:dyDescent="0.3">
      <c r="B45" t="s">
        <v>5</v>
      </c>
      <c r="C45" t="s">
        <v>144</v>
      </c>
      <c r="D45">
        <v>816</v>
      </c>
      <c r="E45" t="s">
        <v>8</v>
      </c>
      <c r="F45" s="11" t="s">
        <v>83</v>
      </c>
      <c r="G45" t="s">
        <v>71</v>
      </c>
      <c r="H45" s="2">
        <v>45267</v>
      </c>
      <c r="I45" s="4">
        <f t="shared" ca="1" si="1"/>
        <v>15</v>
      </c>
      <c r="J45" s="4">
        <f t="shared" ca="1" si="11"/>
        <v>111</v>
      </c>
      <c r="K45" s="2">
        <v>45293</v>
      </c>
      <c r="L45" s="4">
        <f t="shared" si="7"/>
        <v>26</v>
      </c>
      <c r="M45" t="s">
        <v>73</v>
      </c>
      <c r="O45" s="7">
        <v>45309</v>
      </c>
      <c r="P45"/>
    </row>
    <row r="46" spans="2:17" hidden="1" x14ac:dyDescent="0.3">
      <c r="B46" t="s">
        <v>5</v>
      </c>
      <c r="C46" t="s">
        <v>144</v>
      </c>
      <c r="D46">
        <v>817</v>
      </c>
      <c r="E46" t="s">
        <v>8</v>
      </c>
      <c r="F46" s="5" t="s">
        <v>82</v>
      </c>
      <c r="G46" t="s">
        <v>71</v>
      </c>
      <c r="H46" s="2">
        <v>45267</v>
      </c>
      <c r="I46" s="4">
        <f t="shared" ca="1" si="1"/>
        <v>15</v>
      </c>
      <c r="J46" s="4">
        <f t="shared" ca="1" si="11"/>
        <v>111</v>
      </c>
      <c r="K46" s="2">
        <v>45293</v>
      </c>
      <c r="L46" s="4">
        <f t="shared" si="7"/>
        <v>26</v>
      </c>
      <c r="M46" t="s">
        <v>73</v>
      </c>
      <c r="O46" s="2">
        <v>45306</v>
      </c>
      <c r="P46"/>
      <c r="Q46" s="2" t="s">
        <v>99</v>
      </c>
    </row>
    <row r="47" spans="2:17" hidden="1" x14ac:dyDescent="0.3">
      <c r="B47" t="s">
        <v>5</v>
      </c>
      <c r="C47" t="s">
        <v>144</v>
      </c>
      <c r="D47">
        <v>819</v>
      </c>
      <c r="E47" t="s">
        <v>8</v>
      </c>
      <c r="F47" s="5" t="s">
        <v>82</v>
      </c>
      <c r="G47" t="s">
        <v>71</v>
      </c>
      <c r="H47" s="2">
        <v>45267</v>
      </c>
      <c r="I47" s="4">
        <f t="shared" ca="1" si="1"/>
        <v>15</v>
      </c>
      <c r="J47" s="4">
        <f t="shared" ca="1" si="11"/>
        <v>111</v>
      </c>
      <c r="K47" s="2">
        <v>45293</v>
      </c>
      <c r="L47" s="4">
        <f t="shared" si="7"/>
        <v>26</v>
      </c>
      <c r="M47" t="s">
        <v>73</v>
      </c>
      <c r="O47" s="2">
        <v>45306</v>
      </c>
      <c r="P47"/>
      <c r="Q47" s="2" t="s">
        <v>99</v>
      </c>
    </row>
    <row r="48" spans="2:17" hidden="1" x14ac:dyDescent="0.3">
      <c r="B48" t="s">
        <v>5</v>
      </c>
      <c r="C48" t="s">
        <v>144</v>
      </c>
      <c r="D48">
        <v>820</v>
      </c>
      <c r="E48" t="s">
        <v>8</v>
      </c>
      <c r="F48" s="5" t="s">
        <v>82</v>
      </c>
      <c r="G48" t="s">
        <v>71</v>
      </c>
      <c r="H48" s="2">
        <v>45271</v>
      </c>
      <c r="I48" s="4">
        <f t="shared" ca="1" si="1"/>
        <v>15</v>
      </c>
      <c r="J48" s="4">
        <f t="shared" ca="1" si="11"/>
        <v>107</v>
      </c>
      <c r="K48" s="2">
        <v>45293</v>
      </c>
      <c r="L48" s="4">
        <f t="shared" si="7"/>
        <v>22</v>
      </c>
      <c r="M48" t="s">
        <v>73</v>
      </c>
      <c r="O48" s="2">
        <v>45306</v>
      </c>
      <c r="P48"/>
      <c r="Q48" s="2" t="s">
        <v>99</v>
      </c>
    </row>
    <row r="49" spans="2:18" hidden="1" x14ac:dyDescent="0.3">
      <c r="B49" t="s">
        <v>5</v>
      </c>
      <c r="C49" t="s">
        <v>113</v>
      </c>
      <c r="D49">
        <v>821</v>
      </c>
      <c r="E49" t="s">
        <v>8</v>
      </c>
      <c r="F49" s="5" t="s">
        <v>103</v>
      </c>
      <c r="G49" t="s">
        <v>72</v>
      </c>
      <c r="H49" s="2">
        <v>45267</v>
      </c>
      <c r="I49" s="4">
        <f t="shared" ca="1" si="1"/>
        <v>15</v>
      </c>
      <c r="J49" s="4">
        <f t="shared" ca="1" si="11"/>
        <v>111</v>
      </c>
      <c r="K49" s="2">
        <v>45293</v>
      </c>
      <c r="L49" s="4">
        <f t="shared" si="7"/>
        <v>26</v>
      </c>
      <c r="M49" s="4" t="s">
        <v>74</v>
      </c>
      <c r="O49" s="2">
        <v>45351</v>
      </c>
      <c r="P49"/>
      <c r="Q49" t="s">
        <v>206</v>
      </c>
    </row>
    <row r="50" spans="2:18" hidden="1" x14ac:dyDescent="0.3">
      <c r="B50" t="s">
        <v>5</v>
      </c>
      <c r="C50" t="s">
        <v>113</v>
      </c>
      <c r="D50">
        <v>822</v>
      </c>
      <c r="E50" t="s">
        <v>8</v>
      </c>
      <c r="F50" s="5" t="s">
        <v>103</v>
      </c>
      <c r="G50" t="s">
        <v>72</v>
      </c>
      <c r="H50" s="2">
        <v>45267</v>
      </c>
      <c r="I50" s="4">
        <f t="shared" ca="1" si="1"/>
        <v>15</v>
      </c>
      <c r="J50" s="4">
        <f t="shared" ca="1" si="11"/>
        <v>111</v>
      </c>
      <c r="K50" s="2">
        <v>45293</v>
      </c>
      <c r="L50" s="4">
        <f t="shared" si="7"/>
        <v>26</v>
      </c>
      <c r="M50" t="s">
        <v>74</v>
      </c>
      <c r="O50" s="2">
        <v>45351</v>
      </c>
      <c r="P50"/>
      <c r="Q50" t="s">
        <v>206</v>
      </c>
    </row>
    <row r="51" spans="2:18" hidden="1" x14ac:dyDescent="0.3">
      <c r="B51" t="s">
        <v>5</v>
      </c>
      <c r="C51" t="s">
        <v>144</v>
      </c>
      <c r="D51">
        <v>823</v>
      </c>
      <c r="E51" t="s">
        <v>8</v>
      </c>
      <c r="F51" s="5" t="s">
        <v>83</v>
      </c>
      <c r="G51" t="s">
        <v>72</v>
      </c>
      <c r="H51" s="2">
        <v>45267</v>
      </c>
      <c r="I51" s="4">
        <f t="shared" ca="1" si="1"/>
        <v>15</v>
      </c>
      <c r="J51" s="4">
        <f t="shared" ca="1" si="11"/>
        <v>111</v>
      </c>
      <c r="K51" s="2">
        <v>45293</v>
      </c>
      <c r="L51" s="4">
        <f t="shared" si="7"/>
        <v>26</v>
      </c>
      <c r="M51" t="s">
        <v>74</v>
      </c>
      <c r="O51" s="7">
        <v>45309</v>
      </c>
      <c r="P51"/>
    </row>
    <row r="52" spans="2:18" hidden="1" x14ac:dyDescent="0.3">
      <c r="B52" t="s">
        <v>5</v>
      </c>
      <c r="C52" t="s">
        <v>144</v>
      </c>
      <c r="D52">
        <v>824</v>
      </c>
      <c r="E52" t="s">
        <v>8</v>
      </c>
      <c r="F52" s="5" t="s">
        <v>83</v>
      </c>
      <c r="G52" t="s">
        <v>72</v>
      </c>
      <c r="H52" s="2">
        <v>45271</v>
      </c>
      <c r="I52" s="4">
        <f t="shared" ca="1" si="1"/>
        <v>15</v>
      </c>
      <c r="J52" s="4">
        <f t="shared" ca="1" si="11"/>
        <v>107</v>
      </c>
      <c r="K52" s="2">
        <v>45293</v>
      </c>
      <c r="L52" s="4">
        <f t="shared" si="7"/>
        <v>22</v>
      </c>
      <c r="M52" t="s">
        <v>74</v>
      </c>
      <c r="O52" s="7">
        <v>45309</v>
      </c>
      <c r="P52"/>
    </row>
    <row r="53" spans="2:18" hidden="1" x14ac:dyDescent="0.3">
      <c r="B53" t="s">
        <v>5</v>
      </c>
      <c r="C53" t="s">
        <v>113</v>
      </c>
      <c r="D53">
        <v>825</v>
      </c>
      <c r="E53" t="s">
        <v>8</v>
      </c>
      <c r="F53" s="5" t="s">
        <v>103</v>
      </c>
      <c r="G53" t="s">
        <v>72</v>
      </c>
      <c r="H53" s="2">
        <v>45271</v>
      </c>
      <c r="I53" s="4">
        <f t="shared" ca="1" si="1"/>
        <v>15</v>
      </c>
      <c r="J53" s="4">
        <f t="shared" ca="1" si="11"/>
        <v>107</v>
      </c>
      <c r="K53" s="2">
        <v>45293</v>
      </c>
      <c r="L53" s="4">
        <f t="shared" si="7"/>
        <v>22</v>
      </c>
      <c r="M53" t="s">
        <v>74</v>
      </c>
      <c r="O53" s="2">
        <v>45351</v>
      </c>
      <c r="P53"/>
      <c r="Q53" t="s">
        <v>206</v>
      </c>
    </row>
    <row r="54" spans="2:18" hidden="1" x14ac:dyDescent="0.3">
      <c r="B54" t="s">
        <v>27</v>
      </c>
      <c r="C54" t="s">
        <v>110</v>
      </c>
      <c r="D54" t="s">
        <v>28</v>
      </c>
      <c r="E54" t="s">
        <v>31</v>
      </c>
      <c r="F54" s="5" t="s">
        <v>97</v>
      </c>
      <c r="G54" t="s">
        <v>32</v>
      </c>
      <c r="H54" s="2">
        <v>45208</v>
      </c>
      <c r="I54" s="4">
        <f t="shared" ca="1" si="1"/>
        <v>24</v>
      </c>
      <c r="J54" s="4">
        <f t="shared" ca="1" si="11"/>
        <v>170</v>
      </c>
      <c r="K54" s="2">
        <v>45238</v>
      </c>
      <c r="L54" s="4">
        <f t="shared" si="7"/>
        <v>30</v>
      </c>
      <c r="M54" t="s">
        <v>40</v>
      </c>
      <c r="O54" s="2">
        <v>45351</v>
      </c>
      <c r="P54"/>
      <c r="Q54" s="16" t="s">
        <v>175</v>
      </c>
    </row>
    <row r="55" spans="2:18" hidden="1" x14ac:dyDescent="0.3">
      <c r="B55" t="s">
        <v>27</v>
      </c>
      <c r="C55" t="s">
        <v>110</v>
      </c>
      <c r="D55" t="s">
        <v>30</v>
      </c>
      <c r="E55" t="s">
        <v>31</v>
      </c>
      <c r="F55" s="5" t="s">
        <v>97</v>
      </c>
      <c r="G55" t="s">
        <v>32</v>
      </c>
      <c r="H55" s="2">
        <v>45208</v>
      </c>
      <c r="I55" s="4">
        <f t="shared" ca="1" si="1"/>
        <v>24</v>
      </c>
      <c r="J55" s="4">
        <f t="shared" ca="1" si="11"/>
        <v>170</v>
      </c>
      <c r="K55" s="2">
        <v>45238</v>
      </c>
      <c r="L55" s="4">
        <f t="shared" si="7"/>
        <v>30</v>
      </c>
      <c r="M55" t="s">
        <v>40</v>
      </c>
      <c r="O55" s="2">
        <v>45357</v>
      </c>
      <c r="P55"/>
      <c r="Q55" t="s">
        <v>221</v>
      </c>
    </row>
    <row r="56" spans="2:18" hidden="1" x14ac:dyDescent="0.3">
      <c r="B56" t="s">
        <v>27</v>
      </c>
      <c r="C56" t="s">
        <v>110</v>
      </c>
      <c r="D56" t="s">
        <v>29</v>
      </c>
      <c r="E56" t="s">
        <v>31</v>
      </c>
      <c r="F56" s="5" t="s">
        <v>97</v>
      </c>
      <c r="G56" t="s">
        <v>32</v>
      </c>
      <c r="H56" s="2">
        <v>45208</v>
      </c>
      <c r="I56" s="4">
        <f t="shared" ca="1" si="1"/>
        <v>24</v>
      </c>
      <c r="J56" s="4">
        <f t="shared" ca="1" si="11"/>
        <v>170</v>
      </c>
      <c r="K56" s="2">
        <v>45238</v>
      </c>
      <c r="L56" s="4">
        <f t="shared" si="7"/>
        <v>30</v>
      </c>
      <c r="M56" t="s">
        <v>40</v>
      </c>
      <c r="O56" s="2">
        <v>45357</v>
      </c>
      <c r="P56"/>
      <c r="Q56" t="s">
        <v>221</v>
      </c>
    </row>
    <row r="57" spans="2:18" hidden="1" x14ac:dyDescent="0.3">
      <c r="B57" t="s">
        <v>27</v>
      </c>
      <c r="C57" t="s">
        <v>110</v>
      </c>
      <c r="E57" t="s">
        <v>31</v>
      </c>
      <c r="F57" s="14" t="s">
        <v>97</v>
      </c>
      <c r="G57" t="s">
        <v>33</v>
      </c>
      <c r="H57" s="2">
        <v>45000</v>
      </c>
      <c r="I57" s="4">
        <f t="shared" ca="1" si="1"/>
        <v>54</v>
      </c>
      <c r="J57" s="4">
        <f t="shared" ca="1" si="11"/>
        <v>378</v>
      </c>
      <c r="L57" s="4" t="str">
        <f t="shared" si="7"/>
        <v>-</v>
      </c>
      <c r="M57" t="s">
        <v>41</v>
      </c>
      <c r="O57" s="2">
        <v>45357</v>
      </c>
      <c r="P57"/>
      <c r="Q57" t="s">
        <v>221</v>
      </c>
    </row>
    <row r="58" spans="2:18" hidden="1" x14ac:dyDescent="0.3">
      <c r="B58" t="s">
        <v>27</v>
      </c>
      <c r="C58" t="s">
        <v>110</v>
      </c>
      <c r="E58" t="s">
        <v>31</v>
      </c>
      <c r="F58" s="14" t="s">
        <v>97</v>
      </c>
      <c r="G58" t="s">
        <v>32</v>
      </c>
      <c r="H58" s="2">
        <v>45000</v>
      </c>
      <c r="I58" s="4">
        <f t="shared" ca="1" si="1"/>
        <v>54</v>
      </c>
      <c r="J58" s="4">
        <f t="shared" ca="1" si="11"/>
        <v>378</v>
      </c>
      <c r="L58" s="4" t="str">
        <f t="shared" si="7"/>
        <v>-</v>
      </c>
      <c r="M58" t="s">
        <v>41</v>
      </c>
      <c r="O58" s="2">
        <v>45357</v>
      </c>
      <c r="P58"/>
      <c r="Q58" t="s">
        <v>221</v>
      </c>
    </row>
    <row r="59" spans="2:18" hidden="1" x14ac:dyDescent="0.3">
      <c r="B59" t="s">
        <v>27</v>
      </c>
      <c r="C59" t="s">
        <v>110</v>
      </c>
      <c r="E59" t="s">
        <v>26</v>
      </c>
      <c r="G59" t="s">
        <v>88</v>
      </c>
      <c r="H59" s="2">
        <v>45267</v>
      </c>
      <c r="I59" s="4">
        <f t="shared" ca="1" si="1"/>
        <v>15</v>
      </c>
      <c r="J59" s="4">
        <f t="shared" ca="1" si="11"/>
        <v>111</v>
      </c>
      <c r="K59" s="2">
        <v>45295</v>
      </c>
      <c r="L59" s="4">
        <f t="shared" si="7"/>
        <v>28</v>
      </c>
      <c r="M59" s="4" t="s">
        <v>42</v>
      </c>
      <c r="O59" s="2">
        <v>45357</v>
      </c>
      <c r="P59"/>
    </row>
    <row r="60" spans="2:18" x14ac:dyDescent="0.3">
      <c r="B60" t="s">
        <v>27</v>
      </c>
      <c r="C60" t="s">
        <v>110</v>
      </c>
      <c r="E60" t="s">
        <v>8</v>
      </c>
      <c r="F60" s="14" t="s">
        <v>97</v>
      </c>
      <c r="G60" t="s">
        <v>13</v>
      </c>
      <c r="H60" s="2">
        <v>45000</v>
      </c>
      <c r="I60" s="4">
        <f t="shared" ref="I60:I61" ca="1" si="12">IF(QUOTIENT(_xlfn.DAYS(TODAY(),H60), 7)&lt;1000, QUOTIENT(_xlfn.DAYS(TODAY(),H60), 7), "-")</f>
        <v>54</v>
      </c>
      <c r="J60" s="4">
        <f t="shared" ref="J60:J61" ca="1" si="13">IF(_xlfn.DAYS(TODAY(),H60)&lt;10000, _xlfn.DAYS(TODAY(),H60), "-")</f>
        <v>378</v>
      </c>
      <c r="L60" s="4" t="str">
        <f t="shared" ref="L60:L61" si="14">IF(_xlfn.DAYS(K60,H60)&gt;0, _xlfn.DAYS(K60,H60), "-")</f>
        <v>-</v>
      </c>
      <c r="M60" t="s">
        <v>42</v>
      </c>
      <c r="Q60" t="s">
        <v>244</v>
      </c>
    </row>
    <row r="61" spans="2:18" x14ac:dyDescent="0.3">
      <c r="B61" t="s">
        <v>27</v>
      </c>
      <c r="C61" t="s">
        <v>110</v>
      </c>
      <c r="E61" t="s">
        <v>8</v>
      </c>
      <c r="F61" s="14" t="s">
        <v>97</v>
      </c>
      <c r="G61" t="s">
        <v>13</v>
      </c>
      <c r="H61" s="2">
        <v>45000</v>
      </c>
      <c r="I61" s="4">
        <f t="shared" ca="1" si="12"/>
        <v>54</v>
      </c>
      <c r="J61" s="4">
        <f t="shared" ca="1" si="13"/>
        <v>378</v>
      </c>
      <c r="L61" s="4" t="str">
        <f t="shared" si="14"/>
        <v>-</v>
      </c>
      <c r="M61" t="s">
        <v>42</v>
      </c>
      <c r="Q61" t="s">
        <v>244</v>
      </c>
    </row>
    <row r="62" spans="2:18" x14ac:dyDescent="0.3">
      <c r="B62" t="s">
        <v>27</v>
      </c>
      <c r="C62" t="s">
        <v>110</v>
      </c>
      <c r="E62" t="s">
        <v>26</v>
      </c>
      <c r="F62" s="14" t="s">
        <v>97</v>
      </c>
      <c r="G62" t="s">
        <v>88</v>
      </c>
      <c r="H62" s="2">
        <v>45267</v>
      </c>
      <c r="I62" s="4">
        <f t="shared" ca="1" si="1"/>
        <v>15</v>
      </c>
      <c r="J62" s="4">
        <f t="shared" ca="1" si="11"/>
        <v>111</v>
      </c>
      <c r="K62" s="2">
        <v>45295</v>
      </c>
      <c r="L62" s="4">
        <f t="shared" si="7"/>
        <v>28</v>
      </c>
      <c r="M62" s="4" t="s">
        <v>241</v>
      </c>
      <c r="R62" t="s">
        <v>240</v>
      </c>
    </row>
    <row r="63" spans="2:18" x14ac:dyDescent="0.3">
      <c r="B63" t="s">
        <v>34</v>
      </c>
      <c r="C63" t="s">
        <v>110</v>
      </c>
      <c r="E63" t="s">
        <v>16</v>
      </c>
      <c r="F63" s="14" t="s">
        <v>97</v>
      </c>
      <c r="G63" t="s">
        <v>13</v>
      </c>
      <c r="H63" s="2">
        <v>45300</v>
      </c>
      <c r="I63" s="4">
        <f t="shared" ca="1" si="1"/>
        <v>11</v>
      </c>
      <c r="J63" s="4">
        <f t="shared" ca="1" si="11"/>
        <v>78</v>
      </c>
      <c r="K63" s="7">
        <v>45324</v>
      </c>
      <c r="L63" s="4">
        <f t="shared" si="7"/>
        <v>24</v>
      </c>
      <c r="M63" t="s">
        <v>241</v>
      </c>
      <c r="R63" t="s">
        <v>243</v>
      </c>
    </row>
    <row r="64" spans="2:18" x14ac:dyDescent="0.3">
      <c r="B64" t="s">
        <v>34</v>
      </c>
      <c r="C64" t="s">
        <v>110</v>
      </c>
      <c r="E64" t="s">
        <v>16</v>
      </c>
      <c r="F64" s="14" t="s">
        <v>97</v>
      </c>
      <c r="G64" t="s">
        <v>13</v>
      </c>
      <c r="H64" s="2">
        <v>45300</v>
      </c>
      <c r="I64" s="4">
        <f t="shared" ca="1" si="1"/>
        <v>11</v>
      </c>
      <c r="J64" s="4">
        <f t="shared" ca="1" si="11"/>
        <v>78</v>
      </c>
      <c r="K64" s="7">
        <v>45324</v>
      </c>
      <c r="L64" s="4">
        <f t="shared" si="7"/>
        <v>24</v>
      </c>
      <c r="M64" t="s">
        <v>241</v>
      </c>
      <c r="R64" t="s">
        <v>243</v>
      </c>
    </row>
    <row r="65" spans="2:18" x14ac:dyDescent="0.3">
      <c r="B65" t="s">
        <v>27</v>
      </c>
      <c r="C65" t="s">
        <v>110</v>
      </c>
      <c r="E65" t="s">
        <v>26</v>
      </c>
      <c r="F65" s="14" t="s">
        <v>97</v>
      </c>
      <c r="G65" t="s">
        <v>88</v>
      </c>
      <c r="H65" s="2">
        <v>45267</v>
      </c>
      <c r="I65" s="4">
        <f t="shared" ca="1" si="1"/>
        <v>15</v>
      </c>
      <c r="J65" s="4">
        <f t="shared" ca="1" si="11"/>
        <v>111</v>
      </c>
      <c r="K65" s="2">
        <v>45295</v>
      </c>
      <c r="L65" s="4">
        <f t="shared" si="7"/>
        <v>28</v>
      </c>
      <c r="M65" s="4" t="s">
        <v>242</v>
      </c>
      <c r="R65" t="s">
        <v>240</v>
      </c>
    </row>
    <row r="66" spans="2:18" hidden="1" x14ac:dyDescent="0.3">
      <c r="B66" t="s">
        <v>27</v>
      </c>
      <c r="C66" t="s">
        <v>110</v>
      </c>
      <c r="E66" t="s">
        <v>26</v>
      </c>
      <c r="G66" t="s">
        <v>88</v>
      </c>
      <c r="H66" s="2">
        <v>45267</v>
      </c>
      <c r="I66" s="4">
        <f t="shared" ca="1" si="1"/>
        <v>15</v>
      </c>
      <c r="J66" s="4">
        <f t="shared" ca="1" si="11"/>
        <v>111</v>
      </c>
      <c r="K66" s="2">
        <v>45295</v>
      </c>
      <c r="L66" s="4">
        <f t="shared" si="7"/>
        <v>28</v>
      </c>
      <c r="M66" s="4" t="s">
        <v>90</v>
      </c>
      <c r="O66" s="2">
        <v>45357</v>
      </c>
      <c r="P66"/>
      <c r="Q66" t="s">
        <v>221</v>
      </c>
    </row>
    <row r="67" spans="2:18" s="4" customFormat="1" hidden="1" x14ac:dyDescent="0.3">
      <c r="B67" s="4" t="s">
        <v>27</v>
      </c>
      <c r="C67" s="4" t="s">
        <v>196</v>
      </c>
      <c r="E67" s="4" t="s">
        <v>26</v>
      </c>
      <c r="F67" s="14"/>
      <c r="G67" s="4" t="s">
        <v>89</v>
      </c>
      <c r="H67" s="7">
        <v>45267</v>
      </c>
      <c r="I67" s="4">
        <f t="shared" ca="1" si="1"/>
        <v>15</v>
      </c>
      <c r="J67" s="4">
        <f t="shared" ca="1" si="11"/>
        <v>111</v>
      </c>
      <c r="K67" s="7">
        <v>45295</v>
      </c>
      <c r="L67" s="4">
        <f t="shared" si="7"/>
        <v>28</v>
      </c>
      <c r="M67" s="1" t="s">
        <v>91</v>
      </c>
      <c r="N67" s="7"/>
      <c r="O67" s="7">
        <v>45345</v>
      </c>
      <c r="Q67" s="4" t="s">
        <v>197</v>
      </c>
    </row>
    <row r="68" spans="2:18" s="4" customFormat="1" hidden="1" x14ac:dyDescent="0.3">
      <c r="B68" s="4" t="s">
        <v>27</v>
      </c>
      <c r="C68" s="4" t="s">
        <v>110</v>
      </c>
      <c r="E68" s="4" t="s">
        <v>26</v>
      </c>
      <c r="F68" s="14"/>
      <c r="G68" s="4" t="s">
        <v>89</v>
      </c>
      <c r="H68" s="7">
        <v>45267</v>
      </c>
      <c r="I68" s="4">
        <f t="shared" ca="1" si="1"/>
        <v>15</v>
      </c>
      <c r="J68" s="4">
        <f t="shared" ca="1" si="11"/>
        <v>111</v>
      </c>
      <c r="K68" s="7">
        <v>45295</v>
      </c>
      <c r="L68" s="4">
        <f t="shared" si="7"/>
        <v>28</v>
      </c>
      <c r="M68" s="1" t="s">
        <v>91</v>
      </c>
      <c r="N68" s="7"/>
      <c r="O68" s="7">
        <v>45345</v>
      </c>
      <c r="Q68" s="4" t="s">
        <v>197</v>
      </c>
    </row>
    <row r="69" spans="2:18" s="4" customFormat="1" x14ac:dyDescent="0.3">
      <c r="B69" t="s">
        <v>34</v>
      </c>
      <c r="C69" t="s">
        <v>110</v>
      </c>
      <c r="D69"/>
      <c r="E69" t="s">
        <v>16</v>
      </c>
      <c r="F69" s="14" t="s">
        <v>97</v>
      </c>
      <c r="G69" t="s">
        <v>13</v>
      </c>
      <c r="H69" s="2">
        <v>45300</v>
      </c>
      <c r="I69" s="4">
        <f t="shared" ca="1" si="1"/>
        <v>11</v>
      </c>
      <c r="J69" s="4">
        <f t="shared" ca="1" si="11"/>
        <v>78</v>
      </c>
      <c r="K69" s="7">
        <v>45324</v>
      </c>
      <c r="L69" s="4">
        <f t="shared" si="7"/>
        <v>24</v>
      </c>
      <c r="M69" t="s">
        <v>242</v>
      </c>
      <c r="N69" s="2"/>
      <c r="O69" s="2"/>
      <c r="P69" s="5"/>
      <c r="Q69"/>
      <c r="R69" t="s">
        <v>243</v>
      </c>
    </row>
    <row r="70" spans="2:18" hidden="1" x14ac:dyDescent="0.3">
      <c r="B70" t="s">
        <v>27</v>
      </c>
      <c r="C70" t="s">
        <v>58</v>
      </c>
      <c r="D70" t="s">
        <v>36</v>
      </c>
      <c r="E70" t="s">
        <v>8</v>
      </c>
      <c r="F70" s="5" t="s">
        <v>56</v>
      </c>
      <c r="G70" t="s">
        <v>33</v>
      </c>
      <c r="H70" s="2">
        <v>45182</v>
      </c>
      <c r="I70" s="4">
        <f t="shared" ref="I70:I94" ca="1" si="15">IF(QUOTIENT(_xlfn.DAYS(TODAY(),H70), 7)&lt;1000, QUOTIENT(_xlfn.DAYS(TODAY(),H70), 7), "-")</f>
        <v>28</v>
      </c>
      <c r="J70" s="4">
        <f t="shared" ca="1" si="11"/>
        <v>196</v>
      </c>
      <c r="L70" s="4" t="str">
        <f t="shared" si="7"/>
        <v>-</v>
      </c>
      <c r="M70" t="s">
        <v>37</v>
      </c>
      <c r="N70" s="2">
        <v>45212</v>
      </c>
      <c r="O70" s="2">
        <v>45278</v>
      </c>
      <c r="P70"/>
      <c r="Q70" t="s">
        <v>67</v>
      </c>
    </row>
    <row r="71" spans="2:18" hidden="1" x14ac:dyDescent="0.3">
      <c r="B71" t="s">
        <v>27</v>
      </c>
      <c r="C71" t="s">
        <v>58</v>
      </c>
      <c r="D71" t="s">
        <v>28</v>
      </c>
      <c r="E71" t="s">
        <v>8</v>
      </c>
      <c r="F71" s="5" t="s">
        <v>56</v>
      </c>
      <c r="G71" t="s">
        <v>33</v>
      </c>
      <c r="H71" s="2">
        <v>45182</v>
      </c>
      <c r="I71" s="4">
        <f t="shared" ca="1" si="15"/>
        <v>28</v>
      </c>
      <c r="J71" s="4">
        <f t="shared" ca="1" si="11"/>
        <v>196</v>
      </c>
      <c r="L71" s="4" t="str">
        <f t="shared" si="7"/>
        <v>-</v>
      </c>
      <c r="M71" t="s">
        <v>37</v>
      </c>
      <c r="N71" s="2">
        <v>45212</v>
      </c>
      <c r="O71" s="2">
        <v>45278</v>
      </c>
      <c r="P71"/>
      <c r="Q71" t="s">
        <v>67</v>
      </c>
    </row>
    <row r="72" spans="2:18" hidden="1" x14ac:dyDescent="0.3">
      <c r="B72" t="s">
        <v>27</v>
      </c>
      <c r="C72" t="s">
        <v>58</v>
      </c>
      <c r="D72" t="s">
        <v>30</v>
      </c>
      <c r="E72" t="s">
        <v>8</v>
      </c>
      <c r="F72" s="5" t="s">
        <v>56</v>
      </c>
      <c r="G72" t="s">
        <v>33</v>
      </c>
      <c r="H72" s="2">
        <v>45182</v>
      </c>
      <c r="I72" s="4">
        <f t="shared" ca="1" si="15"/>
        <v>28</v>
      </c>
      <c r="J72" s="4">
        <f t="shared" ca="1" si="11"/>
        <v>196</v>
      </c>
      <c r="L72" s="4" t="str">
        <f t="shared" si="7"/>
        <v>-</v>
      </c>
      <c r="M72" t="s">
        <v>37</v>
      </c>
      <c r="N72" s="2">
        <v>45212</v>
      </c>
      <c r="O72" s="2">
        <v>45278</v>
      </c>
      <c r="P72"/>
      <c r="Q72" t="s">
        <v>67</v>
      </c>
    </row>
    <row r="73" spans="2:18" hidden="1" x14ac:dyDescent="0.3">
      <c r="B73" t="s">
        <v>34</v>
      </c>
      <c r="C73" t="s">
        <v>58</v>
      </c>
      <c r="D73" t="s">
        <v>29</v>
      </c>
      <c r="E73" t="s">
        <v>8</v>
      </c>
      <c r="F73" s="5" t="s">
        <v>56</v>
      </c>
      <c r="G73" t="s">
        <v>33</v>
      </c>
      <c r="H73" s="2">
        <v>45182</v>
      </c>
      <c r="I73" s="4">
        <f t="shared" ca="1" si="15"/>
        <v>28</v>
      </c>
      <c r="J73" s="4">
        <f t="shared" ca="1" si="11"/>
        <v>196</v>
      </c>
      <c r="L73" s="4" t="str">
        <f t="shared" si="7"/>
        <v>-</v>
      </c>
      <c r="M73" t="s">
        <v>37</v>
      </c>
      <c r="N73" s="2">
        <v>45212</v>
      </c>
      <c r="O73" s="2">
        <v>45278</v>
      </c>
      <c r="P73"/>
      <c r="Q73" t="s">
        <v>67</v>
      </c>
    </row>
    <row r="74" spans="2:18" hidden="1" x14ac:dyDescent="0.3">
      <c r="B74" t="s">
        <v>34</v>
      </c>
      <c r="C74" t="s">
        <v>58</v>
      </c>
      <c r="D74" t="s">
        <v>35</v>
      </c>
      <c r="E74" t="s">
        <v>8</v>
      </c>
      <c r="F74" s="5" t="s">
        <v>56</v>
      </c>
      <c r="G74" t="s">
        <v>33</v>
      </c>
      <c r="H74" s="2">
        <v>45182</v>
      </c>
      <c r="I74" s="4">
        <f t="shared" ca="1" si="15"/>
        <v>28</v>
      </c>
      <c r="J74" s="4">
        <f t="shared" ca="1" si="11"/>
        <v>196</v>
      </c>
      <c r="L74" s="4" t="str">
        <f t="shared" si="7"/>
        <v>-</v>
      </c>
      <c r="M74" t="s">
        <v>37</v>
      </c>
      <c r="N74" s="2">
        <v>45212</v>
      </c>
      <c r="O74" s="2">
        <v>45278</v>
      </c>
      <c r="P74"/>
      <c r="Q74" t="s">
        <v>67</v>
      </c>
    </row>
    <row r="75" spans="2:18" hidden="1" x14ac:dyDescent="0.3">
      <c r="B75" t="s">
        <v>27</v>
      </c>
      <c r="C75" t="s">
        <v>58</v>
      </c>
      <c r="D75" t="s">
        <v>36</v>
      </c>
      <c r="E75" t="s">
        <v>8</v>
      </c>
      <c r="F75" s="5" t="s">
        <v>56</v>
      </c>
      <c r="G75" t="s">
        <v>33</v>
      </c>
      <c r="H75" s="2">
        <v>45182</v>
      </c>
      <c r="I75" s="4">
        <f t="shared" ca="1" si="15"/>
        <v>28</v>
      </c>
      <c r="J75" s="4">
        <f t="shared" ca="1" si="11"/>
        <v>196</v>
      </c>
      <c r="L75" s="4" t="str">
        <f t="shared" si="7"/>
        <v>-</v>
      </c>
      <c r="M75" t="s">
        <v>38</v>
      </c>
      <c r="N75" s="2">
        <v>45212</v>
      </c>
      <c r="O75" s="2">
        <v>45278</v>
      </c>
      <c r="P75"/>
      <c r="Q75" t="s">
        <v>67</v>
      </c>
    </row>
    <row r="76" spans="2:18" hidden="1" x14ac:dyDescent="0.3">
      <c r="B76" t="s">
        <v>27</v>
      </c>
      <c r="C76" t="s">
        <v>58</v>
      </c>
      <c r="D76" t="s">
        <v>28</v>
      </c>
      <c r="E76" t="s">
        <v>8</v>
      </c>
      <c r="F76" s="5" t="s">
        <v>56</v>
      </c>
      <c r="G76" t="s">
        <v>33</v>
      </c>
      <c r="H76" s="2">
        <v>45182</v>
      </c>
      <c r="I76" s="4">
        <f t="shared" ca="1" si="15"/>
        <v>28</v>
      </c>
      <c r="J76" s="4">
        <f t="shared" ca="1" si="11"/>
        <v>196</v>
      </c>
      <c r="L76" s="4" t="str">
        <f t="shared" si="7"/>
        <v>-</v>
      </c>
      <c r="M76" t="s">
        <v>38</v>
      </c>
      <c r="N76" s="2">
        <v>45212</v>
      </c>
      <c r="O76" s="2">
        <v>45275</v>
      </c>
      <c r="P76"/>
      <c r="Q76" t="s">
        <v>67</v>
      </c>
    </row>
    <row r="77" spans="2:18" hidden="1" x14ac:dyDescent="0.3">
      <c r="B77" t="s">
        <v>27</v>
      </c>
      <c r="C77" t="s">
        <v>58</v>
      </c>
      <c r="D77" t="s">
        <v>30</v>
      </c>
      <c r="E77" t="s">
        <v>8</v>
      </c>
      <c r="F77" s="5" t="s">
        <v>56</v>
      </c>
      <c r="G77" t="s">
        <v>33</v>
      </c>
      <c r="H77" s="2">
        <v>45182</v>
      </c>
      <c r="I77" s="4">
        <f t="shared" ca="1" si="15"/>
        <v>28</v>
      </c>
      <c r="J77" s="4">
        <f t="shared" ca="1" si="11"/>
        <v>196</v>
      </c>
      <c r="L77" s="4" t="str">
        <f t="shared" si="7"/>
        <v>-</v>
      </c>
      <c r="M77" t="s">
        <v>38</v>
      </c>
      <c r="N77" s="2">
        <v>45212</v>
      </c>
      <c r="O77" s="2">
        <v>45278</v>
      </c>
      <c r="P77"/>
      <c r="Q77" t="s">
        <v>67</v>
      </c>
    </row>
    <row r="78" spans="2:18" hidden="1" x14ac:dyDescent="0.3">
      <c r="B78" t="s">
        <v>34</v>
      </c>
      <c r="C78" t="s">
        <v>58</v>
      </c>
      <c r="D78" t="s">
        <v>29</v>
      </c>
      <c r="E78" t="s">
        <v>8</v>
      </c>
      <c r="F78" s="5" t="s">
        <v>56</v>
      </c>
      <c r="G78" t="s">
        <v>33</v>
      </c>
      <c r="H78" s="2">
        <v>45182</v>
      </c>
      <c r="I78" s="4">
        <f t="shared" ca="1" si="15"/>
        <v>28</v>
      </c>
      <c r="J78" s="4">
        <f t="shared" ca="1" si="11"/>
        <v>196</v>
      </c>
      <c r="L78" s="4" t="str">
        <f t="shared" si="7"/>
        <v>-</v>
      </c>
      <c r="M78" t="s">
        <v>38</v>
      </c>
      <c r="N78" s="2">
        <v>45212</v>
      </c>
      <c r="O78" s="2">
        <v>45274</v>
      </c>
      <c r="P78"/>
      <c r="Q78" t="s">
        <v>67</v>
      </c>
    </row>
    <row r="79" spans="2:18" hidden="1" x14ac:dyDescent="0.3">
      <c r="B79" t="s">
        <v>34</v>
      </c>
      <c r="C79" t="s">
        <v>58</v>
      </c>
      <c r="D79" t="s">
        <v>35</v>
      </c>
      <c r="E79" t="s">
        <v>8</v>
      </c>
      <c r="F79" s="5" t="s">
        <v>56</v>
      </c>
      <c r="G79" t="s">
        <v>33</v>
      </c>
      <c r="H79" s="2">
        <v>45182</v>
      </c>
      <c r="I79" s="4">
        <f t="shared" ca="1" si="15"/>
        <v>28</v>
      </c>
      <c r="J79" s="4">
        <f t="shared" ca="1" si="11"/>
        <v>196</v>
      </c>
      <c r="L79" s="4" t="str">
        <f t="shared" si="7"/>
        <v>-</v>
      </c>
      <c r="M79" t="s">
        <v>38</v>
      </c>
      <c r="N79" s="2">
        <v>45212</v>
      </c>
      <c r="O79" s="2">
        <v>45274</v>
      </c>
      <c r="P79"/>
      <c r="Q79" t="s">
        <v>67</v>
      </c>
    </row>
    <row r="80" spans="2:18" hidden="1" x14ac:dyDescent="0.3">
      <c r="B80" t="s">
        <v>27</v>
      </c>
      <c r="C80" t="s">
        <v>58</v>
      </c>
      <c r="D80" t="s">
        <v>36</v>
      </c>
      <c r="E80" t="s">
        <v>8</v>
      </c>
      <c r="F80" s="5" t="s">
        <v>56</v>
      </c>
      <c r="G80" t="s">
        <v>32</v>
      </c>
      <c r="H80" s="2">
        <v>45182</v>
      </c>
      <c r="I80" s="4">
        <f t="shared" ca="1" si="15"/>
        <v>28</v>
      </c>
      <c r="J80" s="4">
        <f t="shared" ca="1" si="11"/>
        <v>196</v>
      </c>
      <c r="L80" s="4" t="str">
        <f t="shared" si="7"/>
        <v>-</v>
      </c>
      <c r="M80" t="s">
        <v>43</v>
      </c>
      <c r="N80" s="2">
        <v>45212</v>
      </c>
      <c r="O80" s="2">
        <v>45278</v>
      </c>
      <c r="P80"/>
      <c r="Q80" t="s">
        <v>67</v>
      </c>
    </row>
    <row r="81" spans="2:17" hidden="1" x14ac:dyDescent="0.3">
      <c r="B81" t="s">
        <v>27</v>
      </c>
      <c r="C81" t="s">
        <v>58</v>
      </c>
      <c r="D81" t="s">
        <v>28</v>
      </c>
      <c r="E81" t="s">
        <v>8</v>
      </c>
      <c r="F81" s="5" t="s">
        <v>56</v>
      </c>
      <c r="G81" t="s">
        <v>32</v>
      </c>
      <c r="H81" s="2">
        <v>45182</v>
      </c>
      <c r="I81" s="4">
        <f t="shared" ca="1" si="15"/>
        <v>28</v>
      </c>
      <c r="J81" s="4">
        <f t="shared" ca="1" si="11"/>
        <v>196</v>
      </c>
      <c r="L81" s="4" t="str">
        <f t="shared" si="7"/>
        <v>-</v>
      </c>
      <c r="M81" t="s">
        <v>43</v>
      </c>
      <c r="N81" s="2">
        <v>45212</v>
      </c>
      <c r="O81" s="2">
        <v>45278</v>
      </c>
      <c r="P81"/>
      <c r="Q81" t="s">
        <v>67</v>
      </c>
    </row>
    <row r="82" spans="2:17" hidden="1" x14ac:dyDescent="0.3">
      <c r="B82" t="s">
        <v>27</v>
      </c>
      <c r="C82" t="s">
        <v>58</v>
      </c>
      <c r="D82" t="s">
        <v>30</v>
      </c>
      <c r="E82" t="s">
        <v>8</v>
      </c>
      <c r="F82" s="5" t="s">
        <v>56</v>
      </c>
      <c r="G82" t="s">
        <v>32</v>
      </c>
      <c r="H82" s="2">
        <v>45182</v>
      </c>
      <c r="I82" s="4">
        <f t="shared" ca="1" si="15"/>
        <v>28</v>
      </c>
      <c r="J82" s="4">
        <f t="shared" ca="1" si="11"/>
        <v>196</v>
      </c>
      <c r="L82" s="4" t="str">
        <f t="shared" si="7"/>
        <v>-</v>
      </c>
      <c r="M82" t="s">
        <v>43</v>
      </c>
      <c r="N82" s="2">
        <v>45212</v>
      </c>
      <c r="O82" s="2">
        <v>45278</v>
      </c>
      <c r="P82"/>
      <c r="Q82" t="s">
        <v>67</v>
      </c>
    </row>
    <row r="83" spans="2:17" hidden="1" x14ac:dyDescent="0.3">
      <c r="B83" t="s">
        <v>34</v>
      </c>
      <c r="C83" t="s">
        <v>58</v>
      </c>
      <c r="D83" t="s">
        <v>29</v>
      </c>
      <c r="E83" t="s">
        <v>8</v>
      </c>
      <c r="F83" s="5" t="s">
        <v>56</v>
      </c>
      <c r="G83" t="s">
        <v>32</v>
      </c>
      <c r="H83" s="2">
        <v>45182</v>
      </c>
      <c r="I83" s="4">
        <f t="shared" ca="1" si="15"/>
        <v>28</v>
      </c>
      <c r="J83" s="4">
        <f t="shared" ca="1" si="11"/>
        <v>196</v>
      </c>
      <c r="L83" s="4" t="str">
        <f t="shared" si="7"/>
        <v>-</v>
      </c>
      <c r="M83" t="s">
        <v>43</v>
      </c>
      <c r="N83" s="2">
        <v>45212</v>
      </c>
      <c r="O83" s="2">
        <v>45278</v>
      </c>
      <c r="P83"/>
      <c r="Q83" t="s">
        <v>67</v>
      </c>
    </row>
    <row r="84" spans="2:17" hidden="1" x14ac:dyDescent="0.3">
      <c r="B84" t="s">
        <v>34</v>
      </c>
      <c r="C84" t="s">
        <v>58</v>
      </c>
      <c r="D84" t="s">
        <v>35</v>
      </c>
      <c r="E84" t="s">
        <v>8</v>
      </c>
      <c r="F84" s="5" t="s">
        <v>56</v>
      </c>
      <c r="G84" t="s">
        <v>32</v>
      </c>
      <c r="H84" s="2">
        <v>45182</v>
      </c>
      <c r="I84" s="4">
        <f t="shared" ca="1" si="15"/>
        <v>28</v>
      </c>
      <c r="J84" s="4">
        <f t="shared" ca="1" si="11"/>
        <v>196</v>
      </c>
      <c r="L84" s="4" t="str">
        <f t="shared" si="7"/>
        <v>-</v>
      </c>
      <c r="M84" t="s">
        <v>43</v>
      </c>
      <c r="N84" s="2">
        <v>45212</v>
      </c>
      <c r="O84" s="2">
        <v>45278</v>
      </c>
      <c r="P84"/>
      <c r="Q84" t="s">
        <v>67</v>
      </c>
    </row>
    <row r="85" spans="2:17" hidden="1" x14ac:dyDescent="0.3">
      <c r="B85" t="s">
        <v>27</v>
      </c>
      <c r="C85" t="s">
        <v>58</v>
      </c>
      <c r="D85" t="s">
        <v>36</v>
      </c>
      <c r="E85" t="s">
        <v>8</v>
      </c>
      <c r="F85" s="5" t="s">
        <v>56</v>
      </c>
      <c r="G85" t="s">
        <v>32</v>
      </c>
      <c r="H85" s="2">
        <v>45182</v>
      </c>
      <c r="I85" s="4">
        <f t="shared" ca="1" si="15"/>
        <v>28</v>
      </c>
      <c r="J85" s="4">
        <f t="shared" ca="1" si="11"/>
        <v>196</v>
      </c>
      <c r="L85" s="4" t="str">
        <f t="shared" si="7"/>
        <v>-</v>
      </c>
      <c r="M85" t="s">
        <v>44</v>
      </c>
      <c r="N85" s="2">
        <v>45212</v>
      </c>
      <c r="O85" s="2">
        <v>45270</v>
      </c>
      <c r="P85"/>
      <c r="Q85" t="s">
        <v>67</v>
      </c>
    </row>
    <row r="86" spans="2:17" hidden="1" x14ac:dyDescent="0.3">
      <c r="B86" t="s">
        <v>27</v>
      </c>
      <c r="C86" t="s">
        <v>58</v>
      </c>
      <c r="D86" t="s">
        <v>28</v>
      </c>
      <c r="E86" t="s">
        <v>8</v>
      </c>
      <c r="F86" s="5" t="s">
        <v>56</v>
      </c>
      <c r="G86" t="s">
        <v>32</v>
      </c>
      <c r="H86" s="2">
        <v>45182</v>
      </c>
      <c r="I86" s="4">
        <f t="shared" ca="1" si="15"/>
        <v>28</v>
      </c>
      <c r="J86" s="4">
        <f t="shared" ca="1" si="11"/>
        <v>196</v>
      </c>
      <c r="L86" s="4" t="str">
        <f t="shared" si="7"/>
        <v>-</v>
      </c>
      <c r="M86" t="s">
        <v>44</v>
      </c>
      <c r="N86" s="2">
        <v>45212</v>
      </c>
      <c r="O86" s="2">
        <v>45270</v>
      </c>
      <c r="P86"/>
      <c r="Q86" t="s">
        <v>67</v>
      </c>
    </row>
    <row r="87" spans="2:17" hidden="1" x14ac:dyDescent="0.3">
      <c r="B87" t="s">
        <v>27</v>
      </c>
      <c r="C87" t="s">
        <v>58</v>
      </c>
      <c r="D87" t="s">
        <v>30</v>
      </c>
      <c r="E87" t="s">
        <v>8</v>
      </c>
      <c r="F87" s="5" t="s">
        <v>56</v>
      </c>
      <c r="G87" t="s">
        <v>32</v>
      </c>
      <c r="H87" s="2">
        <v>45182</v>
      </c>
      <c r="I87" s="4">
        <f t="shared" ca="1" si="15"/>
        <v>28</v>
      </c>
      <c r="J87" s="4">
        <f t="shared" ca="1" si="11"/>
        <v>196</v>
      </c>
      <c r="L87" s="4" t="str">
        <f t="shared" si="7"/>
        <v>-</v>
      </c>
      <c r="M87" t="s">
        <v>44</v>
      </c>
      <c r="N87" s="2">
        <v>45212</v>
      </c>
      <c r="O87" s="2">
        <v>45273</v>
      </c>
      <c r="P87"/>
      <c r="Q87" t="s">
        <v>67</v>
      </c>
    </row>
    <row r="88" spans="2:17" hidden="1" x14ac:dyDescent="0.3">
      <c r="B88" t="s">
        <v>34</v>
      </c>
      <c r="C88" t="s">
        <v>58</v>
      </c>
      <c r="D88" t="s">
        <v>29</v>
      </c>
      <c r="E88" t="s">
        <v>8</v>
      </c>
      <c r="F88" s="5" t="s">
        <v>56</v>
      </c>
      <c r="G88" t="s">
        <v>32</v>
      </c>
      <c r="H88" s="2">
        <v>45182</v>
      </c>
      <c r="I88" s="4">
        <f t="shared" ca="1" si="15"/>
        <v>28</v>
      </c>
      <c r="J88" s="4">
        <f t="shared" ca="1" si="11"/>
        <v>196</v>
      </c>
      <c r="L88" s="4" t="str">
        <f t="shared" si="7"/>
        <v>-</v>
      </c>
      <c r="M88" t="s">
        <v>44</v>
      </c>
      <c r="N88" s="2">
        <v>45212</v>
      </c>
      <c r="O88" s="2">
        <v>45277</v>
      </c>
      <c r="P88"/>
      <c r="Q88" t="s">
        <v>67</v>
      </c>
    </row>
    <row r="89" spans="2:17" hidden="1" x14ac:dyDescent="0.3">
      <c r="B89" t="s">
        <v>34</v>
      </c>
      <c r="C89" t="s">
        <v>58</v>
      </c>
      <c r="D89" t="s">
        <v>35</v>
      </c>
      <c r="E89" t="s">
        <v>8</v>
      </c>
      <c r="F89" s="5" t="s">
        <v>56</v>
      </c>
      <c r="G89" t="s">
        <v>32</v>
      </c>
      <c r="H89" s="2">
        <v>45182</v>
      </c>
      <c r="I89" s="4">
        <f t="shared" ca="1" si="15"/>
        <v>28</v>
      </c>
      <c r="J89" s="4">
        <f t="shared" ca="1" si="11"/>
        <v>196</v>
      </c>
      <c r="L89" s="4" t="str">
        <f t="shared" si="7"/>
        <v>-</v>
      </c>
      <c r="M89" t="s">
        <v>44</v>
      </c>
      <c r="N89" s="2">
        <v>45212</v>
      </c>
      <c r="O89" s="2">
        <v>45277</v>
      </c>
      <c r="P89"/>
      <c r="Q89" t="s">
        <v>67</v>
      </c>
    </row>
    <row r="90" spans="2:17" hidden="1" x14ac:dyDescent="0.3">
      <c r="B90" t="s">
        <v>27</v>
      </c>
      <c r="C90" t="s">
        <v>110</v>
      </c>
      <c r="D90" t="s">
        <v>28</v>
      </c>
      <c r="E90" t="s">
        <v>31</v>
      </c>
      <c r="F90" s="5" t="s">
        <v>97</v>
      </c>
      <c r="G90" t="s">
        <v>33</v>
      </c>
      <c r="H90" s="2">
        <v>45238</v>
      </c>
      <c r="I90" s="4">
        <f t="shared" ca="1" si="15"/>
        <v>20</v>
      </c>
      <c r="J90" s="4">
        <f t="shared" ca="1" si="11"/>
        <v>140</v>
      </c>
      <c r="K90" s="2">
        <v>45272</v>
      </c>
      <c r="L90" s="4">
        <f t="shared" si="7"/>
        <v>34</v>
      </c>
      <c r="M90" s="4" t="s">
        <v>116</v>
      </c>
      <c r="O90" s="2">
        <v>45323</v>
      </c>
      <c r="P90"/>
      <c r="Q90" t="s">
        <v>120</v>
      </c>
    </row>
    <row r="91" spans="2:17" hidden="1" x14ac:dyDescent="0.3">
      <c r="B91" t="s">
        <v>34</v>
      </c>
      <c r="C91" t="s">
        <v>110</v>
      </c>
      <c r="D91" t="s">
        <v>30</v>
      </c>
      <c r="E91" t="s">
        <v>31</v>
      </c>
      <c r="F91" s="5" t="s">
        <v>97</v>
      </c>
      <c r="G91" t="s">
        <v>33</v>
      </c>
      <c r="H91" s="2">
        <v>45238</v>
      </c>
      <c r="I91" s="4">
        <f t="shared" ca="1" si="15"/>
        <v>20</v>
      </c>
      <c r="J91" s="4">
        <f t="shared" ca="1" si="11"/>
        <v>140</v>
      </c>
      <c r="K91" s="2">
        <v>45273</v>
      </c>
      <c r="L91" s="4">
        <f t="shared" si="7"/>
        <v>35</v>
      </c>
      <c r="M91" s="4" t="s">
        <v>117</v>
      </c>
      <c r="O91" s="2">
        <v>45323</v>
      </c>
      <c r="P91"/>
      <c r="Q91" t="s">
        <v>120</v>
      </c>
    </row>
    <row r="92" spans="2:17" hidden="1" x14ac:dyDescent="0.3">
      <c r="B92" t="s">
        <v>34</v>
      </c>
      <c r="C92" t="s">
        <v>110</v>
      </c>
      <c r="D92" t="s">
        <v>29</v>
      </c>
      <c r="E92" t="s">
        <v>31</v>
      </c>
      <c r="F92" s="5" t="s">
        <v>97</v>
      </c>
      <c r="G92" t="s">
        <v>33</v>
      </c>
      <c r="H92" s="2">
        <v>45238</v>
      </c>
      <c r="I92" s="4">
        <f t="shared" ca="1" si="15"/>
        <v>20</v>
      </c>
      <c r="J92" s="4">
        <f t="shared" ca="1" si="11"/>
        <v>140</v>
      </c>
      <c r="K92" s="2">
        <v>45274</v>
      </c>
      <c r="L92" s="4">
        <f t="shared" si="7"/>
        <v>36</v>
      </c>
      <c r="M92" s="4" t="s">
        <v>116</v>
      </c>
      <c r="O92" s="2">
        <v>45323</v>
      </c>
      <c r="P92"/>
      <c r="Q92" t="s">
        <v>120</v>
      </c>
    </row>
    <row r="93" spans="2:17" hidden="1" x14ac:dyDescent="0.3">
      <c r="B93" t="s">
        <v>27</v>
      </c>
      <c r="C93" t="s">
        <v>110</v>
      </c>
      <c r="D93" t="s">
        <v>28</v>
      </c>
      <c r="E93" t="s">
        <v>31</v>
      </c>
      <c r="F93" s="5" t="s">
        <v>97</v>
      </c>
      <c r="G93" t="s">
        <v>32</v>
      </c>
      <c r="H93" s="2">
        <v>45238</v>
      </c>
      <c r="I93" s="4">
        <f t="shared" ca="1" si="15"/>
        <v>20</v>
      </c>
      <c r="J93" s="4">
        <f t="shared" ca="1" si="11"/>
        <v>140</v>
      </c>
      <c r="K93" s="2">
        <v>45275</v>
      </c>
      <c r="L93" s="4">
        <f t="shared" si="7"/>
        <v>37</v>
      </c>
      <c r="M93" s="4" t="s">
        <v>118</v>
      </c>
      <c r="O93" s="2">
        <v>45323</v>
      </c>
      <c r="P93"/>
      <c r="Q93" t="s">
        <v>120</v>
      </c>
    </row>
    <row r="94" spans="2:17" hidden="1" x14ac:dyDescent="0.3">
      <c r="B94" t="s">
        <v>27</v>
      </c>
      <c r="C94" t="s">
        <v>110</v>
      </c>
      <c r="D94" t="s">
        <v>30</v>
      </c>
      <c r="E94" t="s">
        <v>31</v>
      </c>
      <c r="F94" s="5" t="s">
        <v>97</v>
      </c>
      <c r="G94" t="s">
        <v>32</v>
      </c>
      <c r="H94" s="2">
        <v>45238</v>
      </c>
      <c r="I94" s="4">
        <f t="shared" ca="1" si="15"/>
        <v>20</v>
      </c>
      <c r="J94" s="4">
        <f t="shared" ca="1" si="11"/>
        <v>140</v>
      </c>
      <c r="K94" s="2">
        <v>45276</v>
      </c>
      <c r="L94" s="4">
        <f t="shared" si="7"/>
        <v>38</v>
      </c>
      <c r="M94" s="4" t="s">
        <v>119</v>
      </c>
      <c r="O94" s="2">
        <v>45323</v>
      </c>
      <c r="P94"/>
      <c r="Q94" t="s">
        <v>120</v>
      </c>
    </row>
    <row r="95" spans="2:17" hidden="1" x14ac:dyDescent="0.3">
      <c r="B95" t="s">
        <v>27</v>
      </c>
      <c r="C95" t="s">
        <v>110</v>
      </c>
      <c r="D95" t="s">
        <v>29</v>
      </c>
      <c r="E95" t="s">
        <v>31</v>
      </c>
      <c r="F95" s="5" t="s">
        <v>97</v>
      </c>
      <c r="G95" t="s">
        <v>32</v>
      </c>
      <c r="H95" s="2">
        <v>45238</v>
      </c>
      <c r="I95" s="4">
        <f t="shared" ref="I95:I96" ca="1" si="16">IF(QUOTIENT(_xlfn.DAYS(TODAY(),H95), 7)&lt;1000, QUOTIENT(_xlfn.DAYS(TODAY(),H95), 7), "-")</f>
        <v>20</v>
      </c>
      <c r="J95" s="4">
        <f t="shared" ref="J95:J96" ca="1" si="17">IF(_xlfn.DAYS(TODAY(),H95)&lt;10000, _xlfn.DAYS(TODAY(),H95), "-")</f>
        <v>140</v>
      </c>
      <c r="K95" s="2">
        <v>45277</v>
      </c>
      <c r="L95" s="4">
        <f t="shared" si="7"/>
        <v>39</v>
      </c>
      <c r="M95" s="4" t="s">
        <v>118</v>
      </c>
      <c r="O95" s="2">
        <v>45323</v>
      </c>
      <c r="P95"/>
      <c r="Q95" t="s">
        <v>120</v>
      </c>
    </row>
    <row r="96" spans="2:17" hidden="1" x14ac:dyDescent="0.3">
      <c r="B96" t="s">
        <v>34</v>
      </c>
      <c r="C96" t="s">
        <v>110</v>
      </c>
      <c r="D96" t="s">
        <v>35</v>
      </c>
      <c r="E96" t="s">
        <v>31</v>
      </c>
      <c r="F96" s="5" t="s">
        <v>97</v>
      </c>
      <c r="G96" t="s">
        <v>32</v>
      </c>
      <c r="H96" s="2">
        <v>45238</v>
      </c>
      <c r="I96" s="4">
        <f t="shared" ca="1" si="16"/>
        <v>20</v>
      </c>
      <c r="J96" s="4">
        <f t="shared" ca="1" si="17"/>
        <v>140</v>
      </c>
      <c r="K96" s="2">
        <v>45278</v>
      </c>
      <c r="L96" s="4">
        <f t="shared" si="7"/>
        <v>40</v>
      </c>
      <c r="M96" s="4" t="s">
        <v>119</v>
      </c>
      <c r="O96" s="2">
        <v>45323</v>
      </c>
      <c r="P96"/>
      <c r="Q96" t="s">
        <v>120</v>
      </c>
    </row>
    <row r="97" spans="2:17" hidden="1" x14ac:dyDescent="0.3">
      <c r="B97" t="s">
        <v>34</v>
      </c>
      <c r="C97" t="s">
        <v>110</v>
      </c>
      <c r="D97">
        <v>615</v>
      </c>
      <c r="E97" t="s">
        <v>31</v>
      </c>
      <c r="F97" s="5" t="s">
        <v>97</v>
      </c>
      <c r="G97" t="s">
        <v>33</v>
      </c>
      <c r="H97" s="2">
        <v>45202</v>
      </c>
      <c r="I97" s="4">
        <f t="shared" ref="I97" ca="1" si="18">IF(QUOTIENT(_xlfn.DAYS(TODAY(),H97), 7)&lt;1000, QUOTIENT(_xlfn.DAYS(TODAY(),H97), 7), "-")</f>
        <v>25</v>
      </c>
      <c r="J97" s="4">
        <f t="shared" ref="J97" ca="1" si="19">IF(_xlfn.DAYS(TODAY(),H97)&lt;10000, _xlfn.DAYS(TODAY(),H97), "-")</f>
        <v>176</v>
      </c>
      <c r="K97" s="2">
        <v>45223</v>
      </c>
      <c r="L97" s="4">
        <f t="shared" si="7"/>
        <v>21</v>
      </c>
      <c r="M97" t="s">
        <v>39</v>
      </c>
      <c r="O97" s="2">
        <v>45301</v>
      </c>
      <c r="P97"/>
      <c r="Q97" t="s">
        <v>98</v>
      </c>
    </row>
    <row r="98" spans="2:17" hidden="1" x14ac:dyDescent="0.3">
      <c r="B98" t="s">
        <v>34</v>
      </c>
      <c r="C98" t="s">
        <v>110</v>
      </c>
      <c r="D98">
        <v>616</v>
      </c>
      <c r="E98" t="s">
        <v>31</v>
      </c>
      <c r="F98" s="5" t="s">
        <v>97</v>
      </c>
      <c r="G98" t="s">
        <v>33</v>
      </c>
      <c r="H98" s="2">
        <v>45202</v>
      </c>
      <c r="I98" s="4">
        <f t="shared" ref="I98:I120" ca="1" si="20">IF(QUOTIENT(_xlfn.DAYS(TODAY(),H98), 7)&lt;1000, QUOTIENT(_xlfn.DAYS(TODAY(),H98), 7), "-")</f>
        <v>25</v>
      </c>
      <c r="J98" s="4">
        <f t="shared" ref="J98:J120" ca="1" si="21">IF(_xlfn.DAYS(TODAY(),H98)&lt;10000, _xlfn.DAYS(TODAY(),H98), "-")</f>
        <v>176</v>
      </c>
      <c r="K98" s="2">
        <v>45223</v>
      </c>
      <c r="L98" s="4">
        <f t="shared" ref="L98:L134" si="22">IF(_xlfn.DAYS(K98,H98)&gt;0, _xlfn.DAYS(K98,H98), "-")</f>
        <v>21</v>
      </c>
      <c r="M98" t="s">
        <v>39</v>
      </c>
      <c r="O98" s="2">
        <v>45301</v>
      </c>
      <c r="P98"/>
      <c r="Q98" t="s">
        <v>98</v>
      </c>
    </row>
    <row r="99" spans="2:17" hidden="1" x14ac:dyDescent="0.3">
      <c r="B99" t="s">
        <v>34</v>
      </c>
      <c r="C99" t="s">
        <v>110</v>
      </c>
      <c r="D99">
        <v>617</v>
      </c>
      <c r="E99" t="s">
        <v>31</v>
      </c>
      <c r="F99" s="5" t="s">
        <v>97</v>
      </c>
      <c r="G99" t="s">
        <v>33</v>
      </c>
      <c r="H99" s="2">
        <v>45202</v>
      </c>
      <c r="I99" s="4">
        <f t="shared" ca="1" si="20"/>
        <v>25</v>
      </c>
      <c r="J99" s="4">
        <f t="shared" ca="1" si="21"/>
        <v>176</v>
      </c>
      <c r="K99" s="2">
        <v>45223</v>
      </c>
      <c r="L99" s="4">
        <f t="shared" si="22"/>
        <v>21</v>
      </c>
      <c r="M99" t="s">
        <v>39</v>
      </c>
      <c r="O99" s="2">
        <v>45301</v>
      </c>
      <c r="P99"/>
      <c r="Q99" t="s">
        <v>98</v>
      </c>
    </row>
    <row r="100" spans="2:17" hidden="1" x14ac:dyDescent="0.3">
      <c r="B100" t="s">
        <v>34</v>
      </c>
      <c r="C100" t="s">
        <v>110</v>
      </c>
      <c r="D100">
        <v>618</v>
      </c>
      <c r="E100" t="s">
        <v>31</v>
      </c>
      <c r="F100" s="5" t="s">
        <v>97</v>
      </c>
      <c r="G100" t="s">
        <v>33</v>
      </c>
      <c r="H100" s="2">
        <v>45202</v>
      </c>
      <c r="I100" s="4">
        <f t="shared" ca="1" si="20"/>
        <v>25</v>
      </c>
      <c r="J100" s="4">
        <f t="shared" ca="1" si="21"/>
        <v>176</v>
      </c>
      <c r="K100" s="2">
        <v>45223</v>
      </c>
      <c r="L100" s="4">
        <f t="shared" si="22"/>
        <v>21</v>
      </c>
      <c r="M100" t="s">
        <v>39</v>
      </c>
      <c r="O100" s="2">
        <v>45301</v>
      </c>
      <c r="P100"/>
      <c r="Q100" t="s">
        <v>98</v>
      </c>
    </row>
    <row r="101" spans="2:17" hidden="1" x14ac:dyDescent="0.3">
      <c r="B101" t="s">
        <v>34</v>
      </c>
      <c r="C101" t="s">
        <v>57</v>
      </c>
      <c r="D101" t="s">
        <v>36</v>
      </c>
      <c r="E101" t="s">
        <v>8</v>
      </c>
      <c r="F101" s="5" t="s">
        <v>56</v>
      </c>
      <c r="G101" t="s">
        <v>33</v>
      </c>
      <c r="H101" s="2">
        <v>45229</v>
      </c>
      <c r="I101" s="4">
        <f t="shared" ref="I101:I110" ca="1" si="23">IF(QUOTIENT(_xlfn.DAYS(TODAY(),H101), 7)&lt;1000, QUOTIENT(_xlfn.DAYS(TODAY(),H101), 7), "-")</f>
        <v>21</v>
      </c>
      <c r="J101" s="4">
        <f t="shared" ref="J101:J110" ca="1" si="24">IF(_xlfn.DAYS(TODAY(),H101)&lt;10000, _xlfn.DAYS(TODAY(),H101), "-")</f>
        <v>149</v>
      </c>
      <c r="K101" s="2">
        <v>45267</v>
      </c>
      <c r="L101" s="4">
        <f t="shared" si="22"/>
        <v>38</v>
      </c>
      <c r="M101" t="s">
        <v>45</v>
      </c>
      <c r="N101" s="2">
        <v>45278</v>
      </c>
      <c r="O101" s="2">
        <v>45318</v>
      </c>
      <c r="P101"/>
      <c r="Q101" s="2" t="s">
        <v>66</v>
      </c>
    </row>
    <row r="102" spans="2:17" hidden="1" x14ac:dyDescent="0.3">
      <c r="B102" t="s">
        <v>34</v>
      </c>
      <c r="C102" t="s">
        <v>57</v>
      </c>
      <c r="D102" t="s">
        <v>28</v>
      </c>
      <c r="E102" t="s">
        <v>8</v>
      </c>
      <c r="F102" s="5" t="s">
        <v>56</v>
      </c>
      <c r="G102" t="s">
        <v>33</v>
      </c>
      <c r="H102" s="2">
        <v>45229</v>
      </c>
      <c r="I102" s="4">
        <f t="shared" ca="1" si="23"/>
        <v>21</v>
      </c>
      <c r="J102" s="4">
        <f t="shared" ca="1" si="24"/>
        <v>149</v>
      </c>
      <c r="K102" s="2">
        <v>45267</v>
      </c>
      <c r="L102" s="4">
        <f t="shared" si="22"/>
        <v>38</v>
      </c>
      <c r="M102" t="s">
        <v>45</v>
      </c>
      <c r="N102" s="2">
        <v>45278</v>
      </c>
      <c r="O102" s="2">
        <v>45320</v>
      </c>
      <c r="P102"/>
      <c r="Q102" s="2" t="s">
        <v>66</v>
      </c>
    </row>
    <row r="103" spans="2:17" hidden="1" x14ac:dyDescent="0.3">
      <c r="B103" t="s">
        <v>34</v>
      </c>
      <c r="C103" t="s">
        <v>57</v>
      </c>
      <c r="D103" t="s">
        <v>30</v>
      </c>
      <c r="E103" t="s">
        <v>8</v>
      </c>
      <c r="F103" s="5" t="s">
        <v>56</v>
      </c>
      <c r="G103" t="s">
        <v>33</v>
      </c>
      <c r="H103" s="2">
        <v>45229</v>
      </c>
      <c r="I103" s="4">
        <f t="shared" ca="1" si="23"/>
        <v>21</v>
      </c>
      <c r="J103" s="4">
        <f t="shared" ca="1" si="24"/>
        <v>149</v>
      </c>
      <c r="K103" s="2">
        <v>45267</v>
      </c>
      <c r="L103" s="4">
        <f t="shared" si="22"/>
        <v>38</v>
      </c>
      <c r="M103" t="s">
        <v>45</v>
      </c>
      <c r="N103" s="2">
        <v>45278</v>
      </c>
      <c r="O103" s="2">
        <v>45320</v>
      </c>
      <c r="P103"/>
      <c r="Q103" s="2" t="s">
        <v>66</v>
      </c>
    </row>
    <row r="104" spans="2:17" hidden="1" x14ac:dyDescent="0.3">
      <c r="B104" t="s">
        <v>34</v>
      </c>
      <c r="C104" t="s">
        <v>57</v>
      </c>
      <c r="D104" t="s">
        <v>29</v>
      </c>
      <c r="E104" t="s">
        <v>8</v>
      </c>
      <c r="F104" s="5" t="s">
        <v>56</v>
      </c>
      <c r="G104" t="s">
        <v>33</v>
      </c>
      <c r="H104" s="2">
        <v>45229</v>
      </c>
      <c r="I104" s="4">
        <f t="shared" ca="1" si="23"/>
        <v>21</v>
      </c>
      <c r="J104" s="4">
        <f t="shared" ca="1" si="24"/>
        <v>149</v>
      </c>
      <c r="K104" s="2">
        <v>45267</v>
      </c>
      <c r="L104" s="4">
        <f t="shared" si="22"/>
        <v>38</v>
      </c>
      <c r="M104" t="s">
        <v>45</v>
      </c>
      <c r="N104" s="2">
        <v>45278</v>
      </c>
      <c r="O104" s="2">
        <v>45318</v>
      </c>
      <c r="P104"/>
      <c r="Q104" s="2" t="s">
        <v>66</v>
      </c>
    </row>
    <row r="105" spans="2:17" hidden="1" x14ac:dyDescent="0.3">
      <c r="B105" t="s">
        <v>34</v>
      </c>
      <c r="C105" t="s">
        <v>57</v>
      </c>
      <c r="D105" t="s">
        <v>35</v>
      </c>
      <c r="E105" t="s">
        <v>8</v>
      </c>
      <c r="F105" s="5" t="s">
        <v>56</v>
      </c>
      <c r="G105" t="s">
        <v>33</v>
      </c>
      <c r="H105" s="2">
        <v>45229</v>
      </c>
      <c r="I105" s="4">
        <f t="shared" ca="1" si="23"/>
        <v>21</v>
      </c>
      <c r="J105" s="4">
        <f t="shared" ca="1" si="24"/>
        <v>149</v>
      </c>
      <c r="K105" s="2">
        <v>45267</v>
      </c>
      <c r="L105" s="4">
        <f t="shared" si="22"/>
        <v>38</v>
      </c>
      <c r="M105" t="s">
        <v>45</v>
      </c>
      <c r="N105" s="2">
        <v>45278</v>
      </c>
      <c r="O105" s="2">
        <v>45318</v>
      </c>
      <c r="P105"/>
      <c r="Q105" s="2" t="s">
        <v>66</v>
      </c>
    </row>
    <row r="106" spans="2:17" hidden="1" x14ac:dyDescent="0.3">
      <c r="B106" t="s">
        <v>34</v>
      </c>
      <c r="C106" t="s">
        <v>57</v>
      </c>
      <c r="D106" t="s">
        <v>36</v>
      </c>
      <c r="E106" t="s">
        <v>8</v>
      </c>
      <c r="F106" s="5" t="s">
        <v>56</v>
      </c>
      <c r="G106" t="s">
        <v>33</v>
      </c>
      <c r="H106" s="2">
        <v>45229</v>
      </c>
      <c r="I106" s="4">
        <f t="shared" ca="1" si="23"/>
        <v>21</v>
      </c>
      <c r="J106" s="4">
        <f t="shared" ca="1" si="24"/>
        <v>149</v>
      </c>
      <c r="K106" s="2">
        <v>45267</v>
      </c>
      <c r="L106" s="4">
        <f t="shared" si="22"/>
        <v>38</v>
      </c>
      <c r="M106" t="s">
        <v>46</v>
      </c>
      <c r="N106" s="2">
        <v>45278</v>
      </c>
      <c r="O106" s="2">
        <v>45322</v>
      </c>
      <c r="P106"/>
      <c r="Q106" s="2" t="s">
        <v>66</v>
      </c>
    </row>
    <row r="107" spans="2:17" hidden="1" x14ac:dyDescent="0.3">
      <c r="B107" t="s">
        <v>34</v>
      </c>
      <c r="C107" t="s">
        <v>57</v>
      </c>
      <c r="D107" t="s">
        <v>28</v>
      </c>
      <c r="E107" t="s">
        <v>8</v>
      </c>
      <c r="F107" s="5" t="s">
        <v>56</v>
      </c>
      <c r="G107" t="s">
        <v>33</v>
      </c>
      <c r="H107" s="2">
        <v>45229</v>
      </c>
      <c r="I107" s="4">
        <f t="shared" ca="1" si="23"/>
        <v>21</v>
      </c>
      <c r="J107" s="4">
        <f t="shared" ca="1" si="24"/>
        <v>149</v>
      </c>
      <c r="K107" s="2">
        <v>45267</v>
      </c>
      <c r="L107" s="4">
        <f t="shared" si="22"/>
        <v>38</v>
      </c>
      <c r="M107" t="s">
        <v>46</v>
      </c>
      <c r="N107" s="2">
        <v>45278</v>
      </c>
      <c r="O107" s="2">
        <v>45322</v>
      </c>
      <c r="P107"/>
      <c r="Q107" s="2" t="s">
        <v>66</v>
      </c>
    </row>
    <row r="108" spans="2:17" hidden="1" x14ac:dyDescent="0.3">
      <c r="B108" t="s">
        <v>34</v>
      </c>
      <c r="C108" t="s">
        <v>57</v>
      </c>
      <c r="D108" t="s">
        <v>30</v>
      </c>
      <c r="E108" t="s">
        <v>8</v>
      </c>
      <c r="F108" s="5" t="s">
        <v>56</v>
      </c>
      <c r="G108" t="s">
        <v>33</v>
      </c>
      <c r="H108" s="2">
        <v>45229</v>
      </c>
      <c r="I108" s="4">
        <f t="shared" ca="1" si="23"/>
        <v>21</v>
      </c>
      <c r="J108" s="4">
        <f t="shared" ca="1" si="24"/>
        <v>149</v>
      </c>
      <c r="K108" s="2">
        <v>45267</v>
      </c>
      <c r="L108" s="4">
        <f t="shared" si="22"/>
        <v>38</v>
      </c>
      <c r="M108" t="s">
        <v>46</v>
      </c>
      <c r="N108" s="2">
        <v>45278</v>
      </c>
      <c r="O108" s="2">
        <v>45317</v>
      </c>
      <c r="P108"/>
      <c r="Q108" s="2" t="s">
        <v>66</v>
      </c>
    </row>
    <row r="109" spans="2:17" hidden="1" x14ac:dyDescent="0.3">
      <c r="B109" t="s">
        <v>34</v>
      </c>
      <c r="C109" t="s">
        <v>57</v>
      </c>
      <c r="D109" t="s">
        <v>29</v>
      </c>
      <c r="E109" t="s">
        <v>8</v>
      </c>
      <c r="F109" s="5" t="s">
        <v>56</v>
      </c>
      <c r="G109" t="s">
        <v>33</v>
      </c>
      <c r="H109" s="2">
        <v>45229</v>
      </c>
      <c r="I109" s="4">
        <f t="shared" ca="1" si="23"/>
        <v>21</v>
      </c>
      <c r="J109" s="4">
        <f t="shared" ca="1" si="24"/>
        <v>149</v>
      </c>
      <c r="K109" s="2">
        <v>45267</v>
      </c>
      <c r="L109" s="4">
        <f t="shared" si="22"/>
        <v>38</v>
      </c>
      <c r="M109" t="s">
        <v>46</v>
      </c>
      <c r="N109" s="2">
        <v>45278</v>
      </c>
      <c r="O109" s="2">
        <v>45322</v>
      </c>
      <c r="P109"/>
      <c r="Q109" s="2" t="s">
        <v>66</v>
      </c>
    </row>
    <row r="110" spans="2:17" hidden="1" x14ac:dyDescent="0.3">
      <c r="B110" t="s">
        <v>34</v>
      </c>
      <c r="C110" t="s">
        <v>57</v>
      </c>
      <c r="D110" t="s">
        <v>35</v>
      </c>
      <c r="E110" t="s">
        <v>8</v>
      </c>
      <c r="F110" s="5" t="s">
        <v>56</v>
      </c>
      <c r="G110" t="s">
        <v>33</v>
      </c>
      <c r="H110" s="2">
        <v>45229</v>
      </c>
      <c r="I110" s="4">
        <f t="shared" ca="1" si="23"/>
        <v>21</v>
      </c>
      <c r="J110" s="4">
        <f t="shared" ca="1" si="24"/>
        <v>149</v>
      </c>
      <c r="K110" s="2">
        <v>45267</v>
      </c>
      <c r="L110" s="4">
        <f t="shared" si="22"/>
        <v>38</v>
      </c>
      <c r="M110" t="s">
        <v>46</v>
      </c>
      <c r="N110" s="2">
        <v>45278</v>
      </c>
      <c r="O110" s="2">
        <v>45322</v>
      </c>
      <c r="P110"/>
      <c r="Q110" s="2" t="s">
        <v>66</v>
      </c>
    </row>
    <row r="111" spans="2:17" hidden="1" x14ac:dyDescent="0.3">
      <c r="B111" t="s">
        <v>34</v>
      </c>
      <c r="C111" t="s">
        <v>57</v>
      </c>
      <c r="D111">
        <v>951</v>
      </c>
      <c r="E111" t="s">
        <v>8</v>
      </c>
      <c r="F111" s="5" t="s">
        <v>56</v>
      </c>
      <c r="I111" s="4" t="str">
        <f t="shared" ca="1" si="20"/>
        <v>-</v>
      </c>
      <c r="J111" s="4" t="str">
        <f t="shared" ca="1" si="21"/>
        <v>-</v>
      </c>
      <c r="L111" s="4" t="str">
        <f t="shared" si="22"/>
        <v>-</v>
      </c>
      <c r="M111" t="s">
        <v>63</v>
      </c>
      <c r="O111" s="2">
        <v>45306</v>
      </c>
      <c r="P111"/>
      <c r="Q111" s="2" t="s">
        <v>65</v>
      </c>
    </row>
    <row r="112" spans="2:17" hidden="1" x14ac:dyDescent="0.3">
      <c r="B112" t="s">
        <v>34</v>
      </c>
      <c r="C112" t="s">
        <v>57</v>
      </c>
      <c r="D112">
        <v>954</v>
      </c>
      <c r="E112" t="s">
        <v>8</v>
      </c>
      <c r="F112" s="5" t="s">
        <v>56</v>
      </c>
      <c r="I112" s="4" t="str">
        <f t="shared" ca="1" si="20"/>
        <v>-</v>
      </c>
      <c r="J112" s="4" t="str">
        <f t="shared" ca="1" si="21"/>
        <v>-</v>
      </c>
      <c r="L112" s="4" t="str">
        <f t="shared" si="22"/>
        <v>-</v>
      </c>
      <c r="M112" t="s">
        <v>63</v>
      </c>
      <c r="O112" s="2">
        <v>45306</v>
      </c>
      <c r="P112"/>
      <c r="Q112" s="2" t="s">
        <v>65</v>
      </c>
    </row>
    <row r="113" spans="2:18" hidden="1" x14ac:dyDescent="0.3">
      <c r="B113" t="s">
        <v>34</v>
      </c>
      <c r="C113" t="s">
        <v>57</v>
      </c>
      <c r="D113">
        <v>957</v>
      </c>
      <c r="E113" t="s">
        <v>8</v>
      </c>
      <c r="F113" s="5" t="s">
        <v>56</v>
      </c>
      <c r="I113" s="4" t="str">
        <f t="shared" ca="1" si="20"/>
        <v>-</v>
      </c>
      <c r="J113" s="4" t="str">
        <f t="shared" ca="1" si="21"/>
        <v>-</v>
      </c>
      <c r="L113" s="4" t="str">
        <f t="shared" si="22"/>
        <v>-</v>
      </c>
      <c r="M113" t="s">
        <v>63</v>
      </c>
      <c r="O113" s="2">
        <v>45312</v>
      </c>
      <c r="P113"/>
      <c r="Q113" s="2" t="s">
        <v>65</v>
      </c>
    </row>
    <row r="114" spans="2:18" hidden="1" x14ac:dyDescent="0.3">
      <c r="B114" t="s">
        <v>34</v>
      </c>
      <c r="C114" t="s">
        <v>57</v>
      </c>
      <c r="D114">
        <v>960</v>
      </c>
      <c r="E114" t="s">
        <v>8</v>
      </c>
      <c r="F114" s="5" t="s">
        <v>56</v>
      </c>
      <c r="I114" s="4" t="str">
        <f t="shared" ca="1" si="20"/>
        <v>-</v>
      </c>
      <c r="J114" s="4" t="str">
        <f t="shared" ca="1" si="21"/>
        <v>-</v>
      </c>
      <c r="L114" s="4" t="str">
        <f t="shared" si="22"/>
        <v>-</v>
      </c>
      <c r="M114" t="s">
        <v>63</v>
      </c>
      <c r="O114" s="2">
        <v>45312</v>
      </c>
      <c r="P114"/>
      <c r="Q114" s="2" t="s">
        <v>65</v>
      </c>
    </row>
    <row r="115" spans="2:18" hidden="1" x14ac:dyDescent="0.3">
      <c r="B115" t="s">
        <v>34</v>
      </c>
      <c r="C115" t="s">
        <v>57</v>
      </c>
      <c r="D115">
        <v>952</v>
      </c>
      <c r="E115" t="s">
        <v>8</v>
      </c>
      <c r="F115" s="5" t="s">
        <v>56</v>
      </c>
      <c r="I115" s="4" t="str">
        <f t="shared" ca="1" si="20"/>
        <v>-</v>
      </c>
      <c r="J115" s="4" t="str">
        <f t="shared" ca="1" si="21"/>
        <v>-</v>
      </c>
      <c r="L115" s="4" t="str">
        <f t="shared" si="22"/>
        <v>-</v>
      </c>
      <c r="M115" t="s">
        <v>63</v>
      </c>
      <c r="O115" s="2">
        <v>45289</v>
      </c>
      <c r="P115"/>
      <c r="Q115" s="2" t="s">
        <v>65</v>
      </c>
    </row>
    <row r="116" spans="2:18" hidden="1" x14ac:dyDescent="0.3">
      <c r="B116" t="s">
        <v>34</v>
      </c>
      <c r="C116" t="s">
        <v>57</v>
      </c>
      <c r="D116">
        <v>955</v>
      </c>
      <c r="E116" t="s">
        <v>8</v>
      </c>
      <c r="F116" s="5" t="s">
        <v>56</v>
      </c>
      <c r="I116" s="4" t="str">
        <f t="shared" ca="1" si="20"/>
        <v>-</v>
      </c>
      <c r="J116" s="4" t="str">
        <f t="shared" ca="1" si="21"/>
        <v>-</v>
      </c>
      <c r="L116" s="4" t="str">
        <f t="shared" si="22"/>
        <v>-</v>
      </c>
      <c r="M116" t="s">
        <v>63</v>
      </c>
      <c r="O116" s="2">
        <v>45298</v>
      </c>
      <c r="P116"/>
      <c r="Q116" s="2" t="s">
        <v>65</v>
      </c>
    </row>
    <row r="117" spans="2:18" hidden="1" x14ac:dyDescent="0.3">
      <c r="B117" t="s">
        <v>34</v>
      </c>
      <c r="C117" t="s">
        <v>57</v>
      </c>
      <c r="D117">
        <v>958</v>
      </c>
      <c r="E117" t="s">
        <v>8</v>
      </c>
      <c r="F117" s="5" t="s">
        <v>56</v>
      </c>
      <c r="I117" s="4" t="str">
        <f t="shared" ca="1" si="20"/>
        <v>-</v>
      </c>
      <c r="J117" s="4" t="str">
        <f t="shared" ca="1" si="21"/>
        <v>-</v>
      </c>
      <c r="L117" s="4" t="str">
        <f t="shared" si="22"/>
        <v>-</v>
      </c>
      <c r="M117" t="s">
        <v>64</v>
      </c>
      <c r="O117" s="2">
        <v>45289</v>
      </c>
      <c r="P117"/>
      <c r="Q117" s="2" t="s">
        <v>65</v>
      </c>
    </row>
    <row r="118" spans="2:18" hidden="1" x14ac:dyDescent="0.3">
      <c r="B118" t="s">
        <v>34</v>
      </c>
      <c r="C118" t="s">
        <v>57</v>
      </c>
      <c r="D118">
        <v>961</v>
      </c>
      <c r="E118" t="s">
        <v>8</v>
      </c>
      <c r="F118" s="5" t="s">
        <v>56</v>
      </c>
      <c r="G118" t="s">
        <v>106</v>
      </c>
      <c r="I118" s="4" t="str">
        <f t="shared" ca="1" si="20"/>
        <v>-</v>
      </c>
      <c r="J118" s="4" t="str">
        <f t="shared" ca="1" si="21"/>
        <v>-</v>
      </c>
      <c r="L118" s="4" t="str">
        <f t="shared" si="22"/>
        <v>-</v>
      </c>
      <c r="M118" t="s">
        <v>64</v>
      </c>
      <c r="O118" s="2">
        <v>45315</v>
      </c>
      <c r="P118"/>
      <c r="Q118" s="2" t="s">
        <v>65</v>
      </c>
    </row>
    <row r="119" spans="2:18" hidden="1" x14ac:dyDescent="0.3">
      <c r="B119" t="s">
        <v>34</v>
      </c>
      <c r="C119" t="s">
        <v>57</v>
      </c>
      <c r="D119">
        <v>953</v>
      </c>
      <c r="E119" t="s">
        <v>8</v>
      </c>
      <c r="F119" s="5" t="s">
        <v>56</v>
      </c>
      <c r="I119" s="4" t="str">
        <f t="shared" ca="1" si="20"/>
        <v>-</v>
      </c>
      <c r="J119" s="4" t="str">
        <f t="shared" ca="1" si="21"/>
        <v>-</v>
      </c>
      <c r="L119" s="4" t="str">
        <f t="shared" si="22"/>
        <v>-</v>
      </c>
      <c r="M119" t="s">
        <v>64</v>
      </c>
      <c r="O119" s="2">
        <v>45289</v>
      </c>
      <c r="P119"/>
      <c r="Q119" s="2" t="s">
        <v>65</v>
      </c>
    </row>
    <row r="120" spans="2:18" hidden="1" x14ac:dyDescent="0.3">
      <c r="B120" t="s">
        <v>34</v>
      </c>
      <c r="C120" t="s">
        <v>57</v>
      </c>
      <c r="D120">
        <v>956</v>
      </c>
      <c r="E120" t="s">
        <v>8</v>
      </c>
      <c r="F120" s="5" t="s">
        <v>56</v>
      </c>
      <c r="I120" s="4" t="str">
        <f t="shared" ca="1" si="20"/>
        <v>-</v>
      </c>
      <c r="J120" s="4" t="str">
        <f t="shared" ca="1" si="21"/>
        <v>-</v>
      </c>
      <c r="L120" s="4" t="str">
        <f t="shared" si="22"/>
        <v>-</v>
      </c>
      <c r="M120" t="s">
        <v>64</v>
      </c>
      <c r="O120" s="2">
        <v>45308</v>
      </c>
      <c r="P120"/>
      <c r="Q120" s="2" t="s">
        <v>65</v>
      </c>
    </row>
    <row r="121" spans="2:18" hidden="1" x14ac:dyDescent="0.3">
      <c r="B121" t="s">
        <v>34</v>
      </c>
      <c r="C121" t="s">
        <v>57</v>
      </c>
      <c r="D121">
        <v>959</v>
      </c>
      <c r="E121" t="s">
        <v>8</v>
      </c>
      <c r="F121" s="5" t="s">
        <v>56</v>
      </c>
      <c r="I121" s="4" t="str">
        <f t="shared" ref="I121:I126" ca="1" si="25">IF(QUOTIENT(_xlfn.DAYS(TODAY(),H121), 7)&lt;1000, QUOTIENT(_xlfn.DAYS(TODAY(),H121), 7), "-")</f>
        <v>-</v>
      </c>
      <c r="J121" s="4" t="str">
        <f t="shared" ref="J121:J126" ca="1" si="26">IF(_xlfn.DAYS(TODAY(),H121)&lt;10000, _xlfn.DAYS(TODAY(),H121), "-")</f>
        <v>-</v>
      </c>
      <c r="L121" s="4" t="str">
        <f t="shared" si="22"/>
        <v>-</v>
      </c>
      <c r="M121" t="s">
        <v>64</v>
      </c>
      <c r="O121" s="2">
        <v>45657</v>
      </c>
      <c r="P121"/>
      <c r="Q121" s="2" t="s">
        <v>65</v>
      </c>
    </row>
    <row r="122" spans="2:18" hidden="1" x14ac:dyDescent="0.3">
      <c r="B122" t="s">
        <v>34</v>
      </c>
      <c r="C122" t="s">
        <v>57</v>
      </c>
      <c r="D122">
        <v>962</v>
      </c>
      <c r="E122" t="s">
        <v>8</v>
      </c>
      <c r="F122" s="5" t="s">
        <v>56</v>
      </c>
      <c r="I122" s="4" t="str">
        <f t="shared" ca="1" si="25"/>
        <v>-</v>
      </c>
      <c r="J122" s="4" t="str">
        <f t="shared" ca="1" si="26"/>
        <v>-</v>
      </c>
      <c r="L122" s="4" t="str">
        <f t="shared" si="22"/>
        <v>-</v>
      </c>
      <c r="M122" t="s">
        <v>64</v>
      </c>
      <c r="O122" s="2">
        <v>45289</v>
      </c>
      <c r="P122"/>
      <c r="Q122" s="2" t="s">
        <v>65</v>
      </c>
    </row>
    <row r="123" spans="2:18" hidden="1" x14ac:dyDescent="0.3">
      <c r="B123" t="s">
        <v>80</v>
      </c>
      <c r="C123" t="s">
        <v>112</v>
      </c>
      <c r="D123">
        <v>645</v>
      </c>
      <c r="E123" t="s">
        <v>81</v>
      </c>
      <c r="F123" s="14" t="s">
        <v>121</v>
      </c>
      <c r="G123" s="4" t="s">
        <v>106</v>
      </c>
      <c r="H123" s="2">
        <v>45291</v>
      </c>
      <c r="I123" s="4">
        <f t="shared" ca="1" si="25"/>
        <v>12</v>
      </c>
      <c r="J123" s="4">
        <f t="shared" ca="1" si="26"/>
        <v>87</v>
      </c>
      <c r="K123" s="2">
        <v>45315</v>
      </c>
      <c r="L123" s="4">
        <f t="shared" si="22"/>
        <v>24</v>
      </c>
      <c r="M123" s="4" t="s">
        <v>107</v>
      </c>
      <c r="O123" s="2">
        <v>45351</v>
      </c>
      <c r="P123"/>
    </row>
    <row r="124" spans="2:18" hidden="1" x14ac:dyDescent="0.3">
      <c r="B124" t="s">
        <v>80</v>
      </c>
      <c r="C124" t="s">
        <v>112</v>
      </c>
      <c r="D124">
        <v>647</v>
      </c>
      <c r="E124" t="s">
        <v>81</v>
      </c>
      <c r="F124" s="14" t="s">
        <v>122</v>
      </c>
      <c r="G124" t="s">
        <v>109</v>
      </c>
      <c r="H124" s="2">
        <v>45291</v>
      </c>
      <c r="I124" s="4">
        <f t="shared" ca="1" si="25"/>
        <v>12</v>
      </c>
      <c r="J124" s="4">
        <f t="shared" ca="1" si="26"/>
        <v>87</v>
      </c>
      <c r="K124" s="2">
        <v>45315</v>
      </c>
      <c r="L124" s="4">
        <f t="shared" si="22"/>
        <v>24</v>
      </c>
      <c r="M124" t="s">
        <v>108</v>
      </c>
      <c r="O124" s="2">
        <v>45351</v>
      </c>
      <c r="P124"/>
    </row>
    <row r="125" spans="2:18" hidden="1" x14ac:dyDescent="0.3">
      <c r="B125" t="s">
        <v>80</v>
      </c>
      <c r="C125" t="s">
        <v>112</v>
      </c>
      <c r="D125">
        <v>648</v>
      </c>
      <c r="E125" t="s">
        <v>81</v>
      </c>
      <c r="F125" s="14" t="s">
        <v>84</v>
      </c>
      <c r="G125" t="s">
        <v>109</v>
      </c>
      <c r="H125" s="2">
        <v>45291</v>
      </c>
      <c r="I125" s="4">
        <f t="shared" ca="1" si="25"/>
        <v>12</v>
      </c>
      <c r="J125" s="4">
        <f t="shared" ca="1" si="26"/>
        <v>87</v>
      </c>
      <c r="K125" s="2">
        <v>45315</v>
      </c>
      <c r="L125" s="4">
        <f t="shared" si="22"/>
        <v>24</v>
      </c>
      <c r="M125" t="s">
        <v>108</v>
      </c>
      <c r="O125" s="2">
        <v>45351</v>
      </c>
      <c r="P125"/>
    </row>
    <row r="126" spans="2:18" hidden="1" x14ac:dyDescent="0.3">
      <c r="B126" t="s">
        <v>100</v>
      </c>
      <c r="C126" t="s">
        <v>112</v>
      </c>
      <c r="D126">
        <v>798</v>
      </c>
      <c r="E126" t="s">
        <v>16</v>
      </c>
      <c r="F126" s="5" t="s">
        <v>85</v>
      </c>
      <c r="G126" t="s">
        <v>204</v>
      </c>
      <c r="H126" s="2">
        <v>45309</v>
      </c>
      <c r="I126" s="4">
        <f t="shared" ca="1" si="25"/>
        <v>9</v>
      </c>
      <c r="J126" s="4">
        <f t="shared" ca="1" si="26"/>
        <v>69</v>
      </c>
      <c r="L126" s="4" t="str">
        <f t="shared" si="22"/>
        <v>-</v>
      </c>
      <c r="M126" t="s">
        <v>194</v>
      </c>
      <c r="O126" s="2">
        <v>45355</v>
      </c>
      <c r="P126"/>
      <c r="Q126" s="2" t="s">
        <v>221</v>
      </c>
    </row>
    <row r="127" spans="2:18" hidden="1" x14ac:dyDescent="0.3">
      <c r="B127" t="s">
        <v>5</v>
      </c>
      <c r="C127" t="s">
        <v>112</v>
      </c>
      <c r="D127">
        <v>795</v>
      </c>
      <c r="E127" t="s">
        <v>16</v>
      </c>
      <c r="F127" s="10" t="s">
        <v>87</v>
      </c>
      <c r="G127" t="s">
        <v>13</v>
      </c>
      <c r="H127" s="2">
        <v>45309</v>
      </c>
      <c r="I127" s="4">
        <v>6</v>
      </c>
      <c r="J127" s="4">
        <v>42</v>
      </c>
      <c r="L127" s="4" t="s">
        <v>218</v>
      </c>
      <c r="M127" t="s">
        <v>212</v>
      </c>
      <c r="O127"/>
      <c r="P127"/>
      <c r="Q127" s="2"/>
      <c r="R127" t="s">
        <v>213</v>
      </c>
    </row>
    <row r="128" spans="2:18" hidden="1" x14ac:dyDescent="0.3">
      <c r="B128" t="s">
        <v>100</v>
      </c>
      <c r="C128" t="s">
        <v>112</v>
      </c>
      <c r="D128">
        <v>797</v>
      </c>
      <c r="E128" t="s">
        <v>16</v>
      </c>
      <c r="F128" s="10" t="s">
        <v>86</v>
      </c>
      <c r="G128" t="s">
        <v>204</v>
      </c>
      <c r="H128" s="2">
        <v>45309</v>
      </c>
      <c r="I128" s="4">
        <f t="shared" ref="I128:I129" ca="1" si="27">IF(QUOTIENT(_xlfn.DAYS(TODAY(),H128), 7)&lt;1000, QUOTIENT(_xlfn.DAYS(TODAY(),H128), 7), "-")</f>
        <v>9</v>
      </c>
      <c r="J128" s="4">
        <f t="shared" ref="J128:J129" ca="1" si="28">IF(_xlfn.DAYS(TODAY(),H128)&lt;10000, _xlfn.DAYS(TODAY(),H128), "-")</f>
        <v>69</v>
      </c>
      <c r="L128" s="4" t="str">
        <f t="shared" si="22"/>
        <v>-</v>
      </c>
      <c r="M128" t="s">
        <v>212</v>
      </c>
      <c r="P128"/>
      <c r="Q128" s="2"/>
      <c r="R128" t="s">
        <v>211</v>
      </c>
    </row>
    <row r="129" spans="2:18" hidden="1" x14ac:dyDescent="0.3">
      <c r="B129" t="s">
        <v>100</v>
      </c>
      <c r="C129" t="s">
        <v>222</v>
      </c>
      <c r="D129">
        <v>796</v>
      </c>
      <c r="E129" t="s">
        <v>16</v>
      </c>
      <c r="F129" t="s">
        <v>85</v>
      </c>
      <c r="G129" t="s">
        <v>205</v>
      </c>
      <c r="H129" s="2">
        <v>45309</v>
      </c>
      <c r="I129" s="4">
        <f t="shared" ca="1" si="27"/>
        <v>9</v>
      </c>
      <c r="J129" s="4">
        <f t="shared" ca="1" si="28"/>
        <v>69</v>
      </c>
      <c r="L129" s="4" t="str">
        <f t="shared" si="22"/>
        <v>-</v>
      </c>
      <c r="M129" t="s">
        <v>195</v>
      </c>
      <c r="O129" s="2">
        <v>45355</v>
      </c>
      <c r="P129"/>
      <c r="Q129" t="s">
        <v>221</v>
      </c>
    </row>
    <row r="130" spans="2:18" hidden="1" x14ac:dyDescent="0.3">
      <c r="B130" t="s">
        <v>5</v>
      </c>
      <c r="C130" t="s">
        <v>111</v>
      </c>
      <c r="F130" s="10" t="s">
        <v>83</v>
      </c>
      <c r="G130" t="s">
        <v>11</v>
      </c>
      <c r="H130" s="2">
        <v>45155</v>
      </c>
      <c r="I130" s="4">
        <v>28</v>
      </c>
      <c r="J130" s="4">
        <v>196</v>
      </c>
      <c r="L130" s="4" t="s">
        <v>218</v>
      </c>
      <c r="M130" s="4" t="s">
        <v>214</v>
      </c>
      <c r="O130"/>
      <c r="P130"/>
      <c r="R130" t="s">
        <v>217</v>
      </c>
    </row>
    <row r="131" spans="2:18" hidden="1" x14ac:dyDescent="0.3">
      <c r="B131" t="s">
        <v>101</v>
      </c>
      <c r="C131" t="s">
        <v>111</v>
      </c>
      <c r="D131">
        <v>794</v>
      </c>
      <c r="E131" t="s">
        <v>16</v>
      </c>
      <c r="F131" s="10" t="s">
        <v>84</v>
      </c>
      <c r="G131" t="s">
        <v>205</v>
      </c>
      <c r="H131" s="2">
        <v>45309</v>
      </c>
      <c r="I131" s="4">
        <f t="shared" ref="I131:I134" ca="1" si="29">IF(QUOTIENT(_xlfn.DAYS(TODAY(),H131), 7)&lt;1000, QUOTIENT(_xlfn.DAYS(TODAY(),H131), 7), "-")</f>
        <v>9</v>
      </c>
      <c r="J131" s="4">
        <f t="shared" ref="J131:J134" ca="1" si="30">IF(_xlfn.DAYS(TODAY(),H131)&lt;10000, _xlfn.DAYS(TODAY(),H131), "-")</f>
        <v>69</v>
      </c>
      <c r="L131" s="4" t="str">
        <f t="shared" si="22"/>
        <v>-</v>
      </c>
      <c r="M131" t="s">
        <v>214</v>
      </c>
      <c r="P131"/>
      <c r="R131" t="s">
        <v>213</v>
      </c>
    </row>
    <row r="132" spans="2:18" hidden="1" x14ac:dyDescent="0.3">
      <c r="B132" t="s">
        <v>101</v>
      </c>
      <c r="C132" t="s">
        <v>111</v>
      </c>
      <c r="D132">
        <v>793</v>
      </c>
      <c r="E132" t="s">
        <v>16</v>
      </c>
      <c r="F132" s="10" t="s">
        <v>84</v>
      </c>
      <c r="G132" t="s">
        <v>205</v>
      </c>
      <c r="H132" s="2">
        <v>45309</v>
      </c>
      <c r="I132" s="4">
        <f t="shared" ca="1" si="29"/>
        <v>9</v>
      </c>
      <c r="J132" s="4">
        <f t="shared" ca="1" si="30"/>
        <v>69</v>
      </c>
      <c r="L132" s="4" t="str">
        <f t="shared" si="22"/>
        <v>-</v>
      </c>
      <c r="M132" t="s">
        <v>214</v>
      </c>
      <c r="P132"/>
      <c r="R132" t="s">
        <v>213</v>
      </c>
    </row>
    <row r="133" spans="2:18" hidden="1" x14ac:dyDescent="0.3">
      <c r="B133" t="s">
        <v>5</v>
      </c>
      <c r="C133" t="s">
        <v>111</v>
      </c>
      <c r="F133" s="10" t="s">
        <v>83</v>
      </c>
      <c r="G133" t="s">
        <v>11</v>
      </c>
      <c r="H133" s="2">
        <v>45155</v>
      </c>
      <c r="I133" s="4">
        <f t="shared" ca="1" si="29"/>
        <v>31</v>
      </c>
      <c r="J133" s="4">
        <f t="shared" ca="1" si="30"/>
        <v>223</v>
      </c>
      <c r="L133" s="4" t="str">
        <f t="shared" si="22"/>
        <v>-</v>
      </c>
      <c r="M133" s="4" t="s">
        <v>215</v>
      </c>
      <c r="P133"/>
      <c r="R133" t="s">
        <v>216</v>
      </c>
    </row>
    <row r="134" spans="2:18" hidden="1" x14ac:dyDescent="0.3">
      <c r="B134" t="s">
        <v>101</v>
      </c>
      <c r="C134" t="s">
        <v>111</v>
      </c>
      <c r="D134">
        <v>792</v>
      </c>
      <c r="E134" t="s">
        <v>16</v>
      </c>
      <c r="F134" s="10" t="s">
        <v>84</v>
      </c>
      <c r="G134" t="s">
        <v>205</v>
      </c>
      <c r="H134" s="2">
        <v>45309</v>
      </c>
      <c r="I134" s="4">
        <f t="shared" ca="1" si="29"/>
        <v>9</v>
      </c>
      <c r="J134" s="4">
        <f t="shared" ca="1" si="30"/>
        <v>69</v>
      </c>
      <c r="L134" s="4" t="str">
        <f t="shared" si="22"/>
        <v>-</v>
      </c>
      <c r="M134" t="s">
        <v>215</v>
      </c>
      <c r="P134"/>
      <c r="R134" t="s">
        <v>213</v>
      </c>
    </row>
    <row r="135" spans="2:18" hidden="1" x14ac:dyDescent="0.3">
      <c r="B135" t="s">
        <v>5</v>
      </c>
      <c r="C135" t="s">
        <v>111</v>
      </c>
      <c r="D135">
        <v>686</v>
      </c>
      <c r="E135" s="4" t="s">
        <v>16</v>
      </c>
      <c r="F135" s="13" t="s">
        <v>85</v>
      </c>
      <c r="G135" t="s">
        <v>13</v>
      </c>
      <c r="H135" s="2">
        <v>45266</v>
      </c>
      <c r="I135" s="4">
        <v>12</v>
      </c>
      <c r="J135" s="4">
        <v>85</v>
      </c>
      <c r="K135" s="2">
        <v>45293</v>
      </c>
      <c r="L135" s="4">
        <v>27</v>
      </c>
      <c r="M135" s="4" t="s">
        <v>123</v>
      </c>
      <c r="N135" s="7"/>
      <c r="O135"/>
      <c r="P135"/>
      <c r="R135" t="s">
        <v>124</v>
      </c>
    </row>
    <row r="136" spans="2:18" hidden="1" x14ac:dyDescent="0.3">
      <c r="B136" t="s">
        <v>5</v>
      </c>
      <c r="C136" t="s">
        <v>111</v>
      </c>
      <c r="F136" s="10" t="s">
        <v>174</v>
      </c>
      <c r="G136" t="s">
        <v>106</v>
      </c>
      <c r="I136" s="4" t="str">
        <f t="shared" ref="I136:I147" ca="1" si="31">IF(QUOTIENT(_xlfn.DAYS(TODAY(),H136), 7)&lt;1000, QUOTIENT(_xlfn.DAYS(TODAY(),H136), 7), "-")</f>
        <v>-</v>
      </c>
      <c r="J136" s="4" t="str">
        <f t="shared" ref="J136:J147" ca="1" si="32">IF(_xlfn.DAYS(TODAY(),H136)&lt;10000, _xlfn.DAYS(TODAY(),H136), "-")</f>
        <v>-</v>
      </c>
      <c r="L136" s="4" t="str">
        <f t="shared" ref="L136:L147" si="33">IF(_xlfn.DAYS(K136,H136)&gt;0, _xlfn.DAYS(K136,H136), "-")</f>
        <v>-</v>
      </c>
      <c r="M136" s="4" t="s">
        <v>123</v>
      </c>
      <c r="P136"/>
    </row>
    <row r="137" spans="2:18" hidden="1" x14ac:dyDescent="0.3">
      <c r="B137" t="s">
        <v>5</v>
      </c>
      <c r="C137" t="s">
        <v>111</v>
      </c>
      <c r="F137" s="10" t="s">
        <v>115</v>
      </c>
      <c r="G137" t="s">
        <v>109</v>
      </c>
      <c r="H137" s="2">
        <v>44885</v>
      </c>
      <c r="I137" s="4">
        <f t="shared" ca="1" si="31"/>
        <v>70</v>
      </c>
      <c r="J137" s="4">
        <f t="shared" ca="1" si="32"/>
        <v>493</v>
      </c>
      <c r="L137" s="4" t="str">
        <f t="shared" si="33"/>
        <v>-</v>
      </c>
      <c r="M137" s="4" t="s">
        <v>125</v>
      </c>
      <c r="O137" s="2">
        <v>45351</v>
      </c>
      <c r="P137"/>
    </row>
    <row r="138" spans="2:18" hidden="1" x14ac:dyDescent="0.3">
      <c r="B138" t="s">
        <v>5</v>
      </c>
      <c r="C138" t="s">
        <v>111</v>
      </c>
      <c r="F138" s="10" t="s">
        <v>115</v>
      </c>
      <c r="G138" t="s">
        <v>109</v>
      </c>
      <c r="H138" s="2">
        <v>44885</v>
      </c>
      <c r="I138" s="4">
        <f t="shared" ca="1" si="31"/>
        <v>70</v>
      </c>
      <c r="J138" s="4">
        <f t="shared" ca="1" si="32"/>
        <v>493</v>
      </c>
      <c r="L138" s="4" t="str">
        <f t="shared" si="33"/>
        <v>-</v>
      </c>
      <c r="M138" s="4" t="s">
        <v>125</v>
      </c>
      <c r="O138" s="2">
        <v>45351</v>
      </c>
      <c r="P138"/>
    </row>
    <row r="139" spans="2:18" hidden="1" x14ac:dyDescent="0.3">
      <c r="B139" t="s">
        <v>5</v>
      </c>
      <c r="C139" t="s">
        <v>111</v>
      </c>
      <c r="F139" s="10" t="s">
        <v>115</v>
      </c>
      <c r="G139" t="s">
        <v>109</v>
      </c>
      <c r="H139" s="2">
        <v>44885</v>
      </c>
      <c r="I139" s="4">
        <f t="shared" ca="1" si="31"/>
        <v>70</v>
      </c>
      <c r="J139" s="4">
        <f t="shared" ca="1" si="32"/>
        <v>493</v>
      </c>
      <c r="L139" s="4" t="str">
        <f t="shared" si="33"/>
        <v>-</v>
      </c>
      <c r="M139" s="4" t="s">
        <v>114</v>
      </c>
      <c r="O139" s="2">
        <v>45351</v>
      </c>
      <c r="P139"/>
    </row>
    <row r="140" spans="2:18" hidden="1" x14ac:dyDescent="0.3">
      <c r="B140" t="s">
        <v>5</v>
      </c>
      <c r="C140" t="s">
        <v>111</v>
      </c>
      <c r="F140" s="10" t="s">
        <v>115</v>
      </c>
      <c r="G140" t="s">
        <v>109</v>
      </c>
      <c r="H140" s="2">
        <v>44885</v>
      </c>
      <c r="I140" s="4">
        <f t="shared" ca="1" si="31"/>
        <v>70</v>
      </c>
      <c r="J140" s="4">
        <f t="shared" ca="1" si="32"/>
        <v>493</v>
      </c>
      <c r="L140" s="4" t="str">
        <f t="shared" si="33"/>
        <v>-</v>
      </c>
      <c r="M140" s="4" t="s">
        <v>114</v>
      </c>
      <c r="O140" s="2">
        <v>45351</v>
      </c>
      <c r="P140"/>
    </row>
    <row r="141" spans="2:18" hidden="1" x14ac:dyDescent="0.3">
      <c r="B141" t="s">
        <v>126</v>
      </c>
      <c r="C141" t="s">
        <v>127</v>
      </c>
      <c r="F141" s="5" t="s">
        <v>131</v>
      </c>
      <c r="G141" t="s">
        <v>130</v>
      </c>
      <c r="I141" s="4" t="str">
        <f t="shared" ca="1" si="31"/>
        <v>-</v>
      </c>
      <c r="J141" s="4" t="str">
        <f t="shared" ca="1" si="32"/>
        <v>-</v>
      </c>
      <c r="L141" s="4" t="str">
        <f t="shared" si="33"/>
        <v>-</v>
      </c>
      <c r="M141" s="15" t="s">
        <v>128</v>
      </c>
      <c r="O141" s="2">
        <v>45322</v>
      </c>
      <c r="P141"/>
    </row>
    <row r="142" spans="2:18" hidden="1" x14ac:dyDescent="0.3">
      <c r="B142" t="s">
        <v>126</v>
      </c>
      <c r="C142" t="s">
        <v>127</v>
      </c>
      <c r="D142">
        <v>791</v>
      </c>
      <c r="E142" s="2" t="s">
        <v>8</v>
      </c>
      <c r="F142" s="5" t="s">
        <v>86</v>
      </c>
      <c r="G142" t="s">
        <v>12</v>
      </c>
      <c r="H142" s="2">
        <v>45301</v>
      </c>
      <c r="I142" s="4">
        <f t="shared" ca="1" si="31"/>
        <v>11</v>
      </c>
      <c r="J142" s="4">
        <f t="shared" ca="1" si="32"/>
        <v>77</v>
      </c>
      <c r="L142" s="4" t="str">
        <f t="shared" si="33"/>
        <v>-</v>
      </c>
      <c r="M142" s="4" t="s">
        <v>151</v>
      </c>
      <c r="P142"/>
    </row>
    <row r="143" spans="2:18" hidden="1" x14ac:dyDescent="0.3">
      <c r="B143" t="s">
        <v>27</v>
      </c>
      <c r="C143" t="s">
        <v>127</v>
      </c>
      <c r="D143">
        <v>790</v>
      </c>
      <c r="E143" s="2" t="s">
        <v>8</v>
      </c>
      <c r="F143" s="5" t="s">
        <v>86</v>
      </c>
      <c r="G143" t="s">
        <v>204</v>
      </c>
      <c r="H143" s="2">
        <v>45301</v>
      </c>
      <c r="I143" s="4">
        <f t="shared" ca="1" si="31"/>
        <v>11</v>
      </c>
      <c r="J143" s="4">
        <f t="shared" ca="1" si="32"/>
        <v>77</v>
      </c>
      <c r="L143" s="4" t="str">
        <f t="shared" si="33"/>
        <v>-</v>
      </c>
      <c r="M143" s="4" t="s">
        <v>150</v>
      </c>
      <c r="N143" s="2">
        <v>45363</v>
      </c>
      <c r="P143" t="s">
        <v>258</v>
      </c>
      <c r="R143" t="s">
        <v>281</v>
      </c>
    </row>
    <row r="144" spans="2:18" hidden="1" x14ac:dyDescent="0.3">
      <c r="B144" t="s">
        <v>27</v>
      </c>
      <c r="C144" t="s">
        <v>127</v>
      </c>
      <c r="D144">
        <v>789</v>
      </c>
      <c r="E144" s="2" t="s">
        <v>8</v>
      </c>
      <c r="F144" s="5" t="s">
        <v>86</v>
      </c>
      <c r="G144" t="s">
        <v>204</v>
      </c>
      <c r="H144" s="2">
        <v>45301</v>
      </c>
      <c r="I144" s="4">
        <f t="shared" ca="1" si="31"/>
        <v>11</v>
      </c>
      <c r="J144" s="4">
        <f t="shared" ca="1" si="32"/>
        <v>77</v>
      </c>
      <c r="L144" s="4" t="str">
        <f t="shared" si="33"/>
        <v>-</v>
      </c>
      <c r="M144" s="4" t="s">
        <v>150</v>
      </c>
      <c r="N144" s="2">
        <v>45363</v>
      </c>
      <c r="P144" t="s">
        <v>258</v>
      </c>
      <c r="R144" t="s">
        <v>281</v>
      </c>
    </row>
    <row r="145" spans="2:18" hidden="1" x14ac:dyDescent="0.3">
      <c r="B145" t="s">
        <v>27</v>
      </c>
      <c r="C145" t="s">
        <v>127</v>
      </c>
      <c r="D145">
        <v>788</v>
      </c>
      <c r="E145" s="2" t="s">
        <v>8</v>
      </c>
      <c r="F145" s="5" t="s">
        <v>86</v>
      </c>
      <c r="G145" t="s">
        <v>204</v>
      </c>
      <c r="H145" s="2">
        <v>45301</v>
      </c>
      <c r="I145" s="4">
        <f t="shared" ca="1" si="31"/>
        <v>11</v>
      </c>
      <c r="J145" s="4">
        <f t="shared" ca="1" si="32"/>
        <v>77</v>
      </c>
      <c r="L145" s="4" t="str">
        <f t="shared" si="33"/>
        <v>-</v>
      </c>
      <c r="M145" s="4" t="s">
        <v>150</v>
      </c>
      <c r="N145" s="2">
        <v>45363</v>
      </c>
      <c r="P145" t="s">
        <v>258</v>
      </c>
      <c r="R145" t="s">
        <v>282</v>
      </c>
    </row>
    <row r="146" spans="2:18" hidden="1" x14ac:dyDescent="0.3">
      <c r="B146" t="s">
        <v>126</v>
      </c>
      <c r="C146" t="s">
        <v>127</v>
      </c>
      <c r="D146">
        <v>787</v>
      </c>
      <c r="E146" s="2" t="s">
        <v>8</v>
      </c>
      <c r="F146" s="5" t="s">
        <v>87</v>
      </c>
      <c r="G146" t="s">
        <v>204</v>
      </c>
      <c r="H146" s="2">
        <v>45301</v>
      </c>
      <c r="I146" s="4">
        <f t="shared" ca="1" si="31"/>
        <v>11</v>
      </c>
      <c r="J146" s="4">
        <f t="shared" ca="1" si="32"/>
        <v>77</v>
      </c>
      <c r="L146" s="4" t="str">
        <f t="shared" si="33"/>
        <v>-</v>
      </c>
      <c r="M146" s="4" t="s">
        <v>150</v>
      </c>
      <c r="O146" s="2">
        <v>45351</v>
      </c>
      <c r="P146"/>
    </row>
    <row r="147" spans="2:18" hidden="1" x14ac:dyDescent="0.3">
      <c r="B147" t="s">
        <v>27</v>
      </c>
      <c r="C147" t="s">
        <v>127</v>
      </c>
      <c r="D147">
        <v>786</v>
      </c>
      <c r="E147" s="2" t="s">
        <v>8</v>
      </c>
      <c r="F147" s="5" t="s">
        <v>86</v>
      </c>
      <c r="G147" t="s">
        <v>204</v>
      </c>
      <c r="H147" s="2">
        <v>45301</v>
      </c>
      <c r="I147" s="4">
        <f t="shared" ca="1" si="31"/>
        <v>11</v>
      </c>
      <c r="J147" s="4">
        <f t="shared" ca="1" si="32"/>
        <v>77</v>
      </c>
      <c r="L147" s="4" t="str">
        <f t="shared" si="33"/>
        <v>-</v>
      </c>
      <c r="M147" s="4" t="s">
        <v>150</v>
      </c>
      <c r="N147" s="2">
        <v>45363</v>
      </c>
      <c r="P147" t="s">
        <v>258</v>
      </c>
      <c r="R147" t="s">
        <v>282</v>
      </c>
    </row>
    <row r="148" spans="2:18" hidden="1" x14ac:dyDescent="0.3">
      <c r="B148" t="s">
        <v>126</v>
      </c>
      <c r="C148" t="s">
        <v>127</v>
      </c>
      <c r="F148" s="5" t="s">
        <v>131</v>
      </c>
      <c r="G148" t="s">
        <v>129</v>
      </c>
      <c r="I148" s="4" t="str">
        <f t="shared" ref="I148:I179" ca="1" si="34">IF(QUOTIENT(_xlfn.DAYS(TODAY(),H148), 7)&lt;1000, QUOTIENT(_xlfn.DAYS(TODAY(),H148), 7), "-")</f>
        <v>-</v>
      </c>
      <c r="J148" s="4" t="str">
        <f t="shared" ref="J148:J179" ca="1" si="35">IF(_xlfn.DAYS(TODAY(),H148)&lt;10000, _xlfn.DAYS(TODAY(),H148), "-")</f>
        <v>-</v>
      </c>
      <c r="L148" s="4" t="str">
        <f t="shared" ref="L148:L179" si="36">IF(_xlfn.DAYS(K148,H148)&gt;0, _xlfn.DAYS(K148,H148), "-")</f>
        <v>-</v>
      </c>
      <c r="M148" s="4" t="s">
        <v>132</v>
      </c>
      <c r="O148" s="2">
        <v>45351</v>
      </c>
      <c r="P148"/>
    </row>
    <row r="149" spans="2:18" hidden="1" x14ac:dyDescent="0.3">
      <c r="B149" t="s">
        <v>126</v>
      </c>
      <c r="C149" t="s">
        <v>127</v>
      </c>
      <c r="F149" s="5" t="s">
        <v>134</v>
      </c>
      <c r="G149" t="s">
        <v>129</v>
      </c>
      <c r="I149" s="4" t="str">
        <f t="shared" ca="1" si="34"/>
        <v>-</v>
      </c>
      <c r="J149" s="4" t="str">
        <f t="shared" ca="1" si="35"/>
        <v>-</v>
      </c>
      <c r="L149" s="4" t="str">
        <f t="shared" si="36"/>
        <v>-</v>
      </c>
      <c r="M149" s="4" t="s">
        <v>133</v>
      </c>
      <c r="O149" s="2">
        <v>45351</v>
      </c>
      <c r="P149"/>
    </row>
    <row r="150" spans="2:18" hidden="1" x14ac:dyDescent="0.3">
      <c r="B150" t="s">
        <v>126</v>
      </c>
      <c r="C150" t="s">
        <v>127</v>
      </c>
      <c r="F150" s="5" t="s">
        <v>134</v>
      </c>
      <c r="G150" t="s">
        <v>130</v>
      </c>
      <c r="I150" s="4" t="str">
        <f t="shared" ca="1" si="34"/>
        <v>-</v>
      </c>
      <c r="J150" s="4" t="str">
        <f t="shared" ca="1" si="35"/>
        <v>-</v>
      </c>
      <c r="L150" s="4" t="str">
        <f t="shared" si="36"/>
        <v>-</v>
      </c>
      <c r="M150" s="4" t="s">
        <v>133</v>
      </c>
      <c r="O150" s="2">
        <v>45351</v>
      </c>
      <c r="P150"/>
    </row>
    <row r="151" spans="2:18" hidden="1" x14ac:dyDescent="0.3">
      <c r="B151" t="s">
        <v>27</v>
      </c>
      <c r="C151" t="s">
        <v>127</v>
      </c>
      <c r="D151">
        <v>781</v>
      </c>
      <c r="E151" s="2" t="s">
        <v>8</v>
      </c>
      <c r="F151" s="5" t="s">
        <v>86</v>
      </c>
      <c r="G151" t="s">
        <v>204</v>
      </c>
      <c r="H151" s="2">
        <v>45307</v>
      </c>
      <c r="I151" s="4">
        <f t="shared" ca="1" si="34"/>
        <v>10</v>
      </c>
      <c r="J151" s="4">
        <f t="shared" ca="1" si="35"/>
        <v>71</v>
      </c>
      <c r="L151" s="4" t="str">
        <f t="shared" si="36"/>
        <v>-</v>
      </c>
      <c r="M151" s="4" t="s">
        <v>192</v>
      </c>
      <c r="N151" s="2">
        <v>45357</v>
      </c>
      <c r="P151" s="5" t="s">
        <v>223</v>
      </c>
      <c r="R151" t="s">
        <v>220</v>
      </c>
    </row>
    <row r="152" spans="2:18" hidden="1" x14ac:dyDescent="0.3">
      <c r="B152" t="s">
        <v>126</v>
      </c>
      <c r="C152" t="s">
        <v>127</v>
      </c>
      <c r="D152">
        <v>784</v>
      </c>
      <c r="E152" s="2" t="s">
        <v>8</v>
      </c>
      <c r="F152" s="5" t="s">
        <v>87</v>
      </c>
      <c r="G152" t="s">
        <v>204</v>
      </c>
      <c r="H152" s="2">
        <v>45307</v>
      </c>
      <c r="I152" s="4">
        <f t="shared" ca="1" si="34"/>
        <v>10</v>
      </c>
      <c r="J152" s="4">
        <f t="shared" ca="1" si="35"/>
        <v>71</v>
      </c>
      <c r="L152" s="4" t="str">
        <f t="shared" si="36"/>
        <v>-</v>
      </c>
      <c r="M152" s="4" t="s">
        <v>192</v>
      </c>
      <c r="O152" s="2">
        <v>45351</v>
      </c>
      <c r="P152"/>
    </row>
    <row r="153" spans="2:18" hidden="1" x14ac:dyDescent="0.3">
      <c r="B153" t="s">
        <v>126</v>
      </c>
      <c r="C153" t="s">
        <v>127</v>
      </c>
      <c r="D153">
        <v>783</v>
      </c>
      <c r="E153" s="2" t="s">
        <v>8</v>
      </c>
      <c r="F153" s="5" t="s">
        <v>134</v>
      </c>
      <c r="G153" t="s">
        <v>204</v>
      </c>
      <c r="H153" s="2">
        <v>45307</v>
      </c>
      <c r="I153" s="4">
        <f t="shared" ca="1" si="34"/>
        <v>10</v>
      </c>
      <c r="J153" s="4">
        <f t="shared" ca="1" si="35"/>
        <v>71</v>
      </c>
      <c r="L153" s="4" t="str">
        <f t="shared" si="36"/>
        <v>-</v>
      </c>
      <c r="M153" s="4" t="s">
        <v>192</v>
      </c>
      <c r="O153" s="2">
        <v>45351</v>
      </c>
      <c r="P153"/>
    </row>
    <row r="154" spans="2:18" hidden="1" x14ac:dyDescent="0.3">
      <c r="B154" t="s">
        <v>126</v>
      </c>
      <c r="C154" t="s">
        <v>127</v>
      </c>
      <c r="D154">
        <v>782</v>
      </c>
      <c r="E154" s="2" t="s">
        <v>8</v>
      </c>
      <c r="F154" s="5" t="s">
        <v>134</v>
      </c>
      <c r="G154" t="s">
        <v>204</v>
      </c>
      <c r="H154" s="2">
        <v>45307</v>
      </c>
      <c r="I154" s="4">
        <f t="shared" ca="1" si="34"/>
        <v>10</v>
      </c>
      <c r="J154" s="4">
        <f t="shared" ca="1" si="35"/>
        <v>71</v>
      </c>
      <c r="L154" s="4" t="str">
        <f t="shared" si="36"/>
        <v>-</v>
      </c>
      <c r="M154" s="4" t="s">
        <v>192</v>
      </c>
      <c r="O154" s="2">
        <v>45351</v>
      </c>
      <c r="P154"/>
    </row>
    <row r="155" spans="2:18" hidden="1" x14ac:dyDescent="0.3">
      <c r="B155" t="s">
        <v>27</v>
      </c>
      <c r="C155" t="s">
        <v>127</v>
      </c>
      <c r="D155">
        <v>785</v>
      </c>
      <c r="E155" s="2" t="s">
        <v>8</v>
      </c>
      <c r="F155" s="5" t="s">
        <v>86</v>
      </c>
      <c r="G155" t="s">
        <v>204</v>
      </c>
      <c r="H155" s="2">
        <v>45307</v>
      </c>
      <c r="I155" s="4">
        <f t="shared" ca="1" si="34"/>
        <v>10</v>
      </c>
      <c r="J155" s="4">
        <f t="shared" ca="1" si="35"/>
        <v>71</v>
      </c>
      <c r="L155" s="4" t="str">
        <f t="shared" si="36"/>
        <v>-</v>
      </c>
      <c r="M155" s="4" t="s">
        <v>192</v>
      </c>
      <c r="N155" s="2">
        <v>45357</v>
      </c>
      <c r="P155" s="5" t="s">
        <v>223</v>
      </c>
      <c r="R155" t="s">
        <v>257</v>
      </c>
    </row>
    <row r="156" spans="2:18" hidden="1" x14ac:dyDescent="0.3">
      <c r="B156" t="s">
        <v>126</v>
      </c>
      <c r="C156" t="s">
        <v>127</v>
      </c>
      <c r="D156">
        <v>780</v>
      </c>
      <c r="E156" s="2" t="s">
        <v>8</v>
      </c>
      <c r="F156" s="5" t="s">
        <v>86</v>
      </c>
      <c r="G156" t="s">
        <v>205</v>
      </c>
      <c r="H156" s="2">
        <v>45307</v>
      </c>
      <c r="I156" s="4">
        <f t="shared" ca="1" si="34"/>
        <v>10</v>
      </c>
      <c r="J156" s="4">
        <f t="shared" ca="1" si="35"/>
        <v>71</v>
      </c>
      <c r="L156" s="4" t="str">
        <f t="shared" si="36"/>
        <v>-</v>
      </c>
      <c r="M156" s="4" t="s">
        <v>193</v>
      </c>
      <c r="P156"/>
    </row>
    <row r="157" spans="2:18" hidden="1" x14ac:dyDescent="0.3">
      <c r="B157" t="s">
        <v>34</v>
      </c>
      <c r="C157" t="s">
        <v>127</v>
      </c>
      <c r="D157">
        <v>710</v>
      </c>
      <c r="E157" t="s">
        <v>8</v>
      </c>
      <c r="F157" s="5" t="s">
        <v>134</v>
      </c>
      <c r="G157" t="s">
        <v>129</v>
      </c>
      <c r="H157" s="2">
        <v>45189</v>
      </c>
      <c r="I157" s="4">
        <f t="shared" ca="1" si="34"/>
        <v>27</v>
      </c>
      <c r="J157" s="4">
        <f t="shared" ca="1" si="35"/>
        <v>189</v>
      </c>
      <c r="L157" s="4" t="str">
        <f t="shared" si="36"/>
        <v>-</v>
      </c>
      <c r="M157" t="s">
        <v>140</v>
      </c>
      <c r="N157" s="2">
        <v>45322</v>
      </c>
      <c r="O157" s="2">
        <v>45336</v>
      </c>
      <c r="P157"/>
      <c r="Q157" t="s">
        <v>156</v>
      </c>
    </row>
    <row r="158" spans="2:18" hidden="1" x14ac:dyDescent="0.3">
      <c r="B158" t="s">
        <v>126</v>
      </c>
      <c r="C158" t="s">
        <v>127</v>
      </c>
      <c r="D158">
        <v>708</v>
      </c>
      <c r="F158" s="5" t="s">
        <v>134</v>
      </c>
      <c r="G158" t="s">
        <v>130</v>
      </c>
      <c r="I158" s="4" t="str">
        <f t="shared" ca="1" si="34"/>
        <v>-</v>
      </c>
      <c r="J158" s="4" t="str">
        <f t="shared" ca="1" si="35"/>
        <v>-</v>
      </c>
      <c r="L158" s="4" t="str">
        <f t="shared" si="36"/>
        <v>-</v>
      </c>
      <c r="M158" t="s">
        <v>136</v>
      </c>
      <c r="O158" s="2">
        <v>45329</v>
      </c>
      <c r="P158"/>
    </row>
    <row r="159" spans="2:18" hidden="1" x14ac:dyDescent="0.3">
      <c r="B159" t="s">
        <v>5</v>
      </c>
      <c r="C159" t="s">
        <v>127</v>
      </c>
      <c r="F159" s="10" t="s">
        <v>86</v>
      </c>
      <c r="G159" t="s">
        <v>11</v>
      </c>
      <c r="I159" s="4" t="str">
        <f t="shared" ref="I159" ca="1" si="37">IF(QUOTIENT(_xlfn.DAYS(TODAY(),H159), 7)&lt;1000, QUOTIENT(_xlfn.DAYS(TODAY(),H159), 7), "-")</f>
        <v>-</v>
      </c>
      <c r="J159" s="4" t="str">
        <f t="shared" ref="J159" ca="1" si="38">IF(_xlfn.DAYS(TODAY(),H159)&lt;10000, _xlfn.DAYS(TODAY(),H159), "-")</f>
        <v>-</v>
      </c>
      <c r="L159" s="4" t="str">
        <f t="shared" ref="L159" si="39">IF(_xlfn.DAYS(K159,H159)&gt;0, _xlfn.DAYS(K159,H159), "-")</f>
        <v>-</v>
      </c>
      <c r="M159" s="4" t="s">
        <v>152</v>
      </c>
      <c r="P159"/>
    </row>
    <row r="160" spans="2:18" hidden="1" x14ac:dyDescent="0.3">
      <c r="B160" t="s">
        <v>126</v>
      </c>
      <c r="C160" t="s">
        <v>127</v>
      </c>
      <c r="D160">
        <v>767</v>
      </c>
      <c r="F160" s="10" t="s">
        <v>137</v>
      </c>
      <c r="G160" t="s">
        <v>129</v>
      </c>
      <c r="I160" s="4" t="str">
        <f t="shared" ca="1" si="34"/>
        <v>-</v>
      </c>
      <c r="J160" s="4" t="str">
        <f t="shared" ca="1" si="35"/>
        <v>-</v>
      </c>
      <c r="L160" s="4" t="str">
        <f t="shared" si="36"/>
        <v>-</v>
      </c>
      <c r="M160" s="4" t="s">
        <v>152</v>
      </c>
      <c r="P160"/>
    </row>
    <row r="161" spans="2:18" hidden="1" x14ac:dyDescent="0.3">
      <c r="B161" t="s">
        <v>5</v>
      </c>
      <c r="C161" t="s">
        <v>127</v>
      </c>
      <c r="F161" s="10" t="s">
        <v>86</v>
      </c>
      <c r="G161" t="s">
        <v>13</v>
      </c>
      <c r="I161" s="4" t="str">
        <f t="shared" ca="1" si="34"/>
        <v>-</v>
      </c>
      <c r="J161" s="4" t="str">
        <f t="shared" ca="1" si="35"/>
        <v>-</v>
      </c>
      <c r="L161" s="4" t="str">
        <f t="shared" si="36"/>
        <v>-</v>
      </c>
      <c r="M161" s="4" t="s">
        <v>149</v>
      </c>
      <c r="P161"/>
    </row>
    <row r="162" spans="2:18" hidden="1" x14ac:dyDescent="0.3">
      <c r="B162" t="s">
        <v>126</v>
      </c>
      <c r="C162" t="s">
        <v>127</v>
      </c>
      <c r="D162">
        <v>606</v>
      </c>
      <c r="E162" t="s">
        <v>8</v>
      </c>
      <c r="F162" s="10" t="s">
        <v>145</v>
      </c>
      <c r="G162" t="s">
        <v>130</v>
      </c>
      <c r="H162" s="2">
        <v>45269</v>
      </c>
      <c r="I162" s="4">
        <f t="shared" ca="1" si="34"/>
        <v>15</v>
      </c>
      <c r="J162" s="4">
        <f t="shared" ca="1" si="35"/>
        <v>109</v>
      </c>
      <c r="K162" s="2">
        <v>45301</v>
      </c>
      <c r="L162" s="4">
        <f t="shared" si="36"/>
        <v>32</v>
      </c>
      <c r="M162" s="4" t="s">
        <v>149</v>
      </c>
      <c r="P162"/>
    </row>
    <row r="163" spans="2:18" hidden="1" x14ac:dyDescent="0.3">
      <c r="B163" t="s">
        <v>5</v>
      </c>
      <c r="C163" t="s">
        <v>127</v>
      </c>
      <c r="F163" s="10" t="s">
        <v>86</v>
      </c>
      <c r="G163" t="s">
        <v>13</v>
      </c>
      <c r="I163" s="4" t="str">
        <f t="shared" ca="1" si="34"/>
        <v>-</v>
      </c>
      <c r="J163" s="4" t="str">
        <f t="shared" ca="1" si="35"/>
        <v>-</v>
      </c>
      <c r="L163" s="4" t="str">
        <f t="shared" si="36"/>
        <v>-</v>
      </c>
      <c r="M163" s="4" t="s">
        <v>148</v>
      </c>
      <c r="P163"/>
    </row>
    <row r="164" spans="2:18" hidden="1" x14ac:dyDescent="0.3">
      <c r="B164" t="s">
        <v>126</v>
      </c>
      <c r="C164" t="s">
        <v>127</v>
      </c>
      <c r="D164">
        <v>607</v>
      </c>
      <c r="E164" t="s">
        <v>8</v>
      </c>
      <c r="F164" s="10" t="s">
        <v>145</v>
      </c>
      <c r="G164" t="s">
        <v>130</v>
      </c>
      <c r="H164" s="2">
        <v>45269</v>
      </c>
      <c r="I164" s="4">
        <f t="shared" ca="1" si="34"/>
        <v>15</v>
      </c>
      <c r="J164" s="4">
        <f t="shared" ca="1" si="35"/>
        <v>109</v>
      </c>
      <c r="K164" s="2">
        <v>45301</v>
      </c>
      <c r="L164" s="4">
        <f t="shared" si="36"/>
        <v>32</v>
      </c>
      <c r="M164" s="4" t="s">
        <v>148</v>
      </c>
      <c r="P164"/>
    </row>
    <row r="165" spans="2:18" hidden="1" x14ac:dyDescent="0.3">
      <c r="B165" t="s">
        <v>126</v>
      </c>
      <c r="C165" t="s">
        <v>127</v>
      </c>
      <c r="D165">
        <v>608</v>
      </c>
      <c r="E165" t="s">
        <v>135</v>
      </c>
      <c r="G165" t="s">
        <v>130</v>
      </c>
      <c r="H165" s="2">
        <v>45269</v>
      </c>
      <c r="I165" s="4">
        <f t="shared" ca="1" si="34"/>
        <v>15</v>
      </c>
      <c r="J165" s="4">
        <f t="shared" ca="1" si="35"/>
        <v>109</v>
      </c>
      <c r="K165" s="2">
        <v>45301</v>
      </c>
      <c r="L165" s="4">
        <f t="shared" si="36"/>
        <v>32</v>
      </c>
      <c r="M165" s="4" t="s">
        <v>138</v>
      </c>
      <c r="O165" s="2">
        <v>45321</v>
      </c>
      <c r="P165"/>
    </row>
    <row r="166" spans="2:18" hidden="1" x14ac:dyDescent="0.3">
      <c r="B166" t="s">
        <v>126</v>
      </c>
      <c r="C166" t="s">
        <v>127</v>
      </c>
      <c r="D166">
        <v>609</v>
      </c>
      <c r="E166" t="s">
        <v>8</v>
      </c>
      <c r="F166" s="10" t="s">
        <v>145</v>
      </c>
      <c r="G166" t="s">
        <v>130</v>
      </c>
      <c r="H166" s="2">
        <v>45269</v>
      </c>
      <c r="I166" s="4">
        <f t="shared" ca="1" si="34"/>
        <v>15</v>
      </c>
      <c r="J166" s="4">
        <f t="shared" ca="1" si="35"/>
        <v>109</v>
      </c>
      <c r="K166" s="2">
        <v>45301</v>
      </c>
      <c r="L166" s="4">
        <f t="shared" si="36"/>
        <v>32</v>
      </c>
      <c r="M166" s="4" t="s">
        <v>155</v>
      </c>
      <c r="P166"/>
    </row>
    <row r="167" spans="2:18" hidden="1" x14ac:dyDescent="0.3">
      <c r="B167" t="s">
        <v>34</v>
      </c>
      <c r="C167" t="s">
        <v>127</v>
      </c>
      <c r="D167">
        <v>610</v>
      </c>
      <c r="E167" t="s">
        <v>8</v>
      </c>
      <c r="F167" s="5" t="s">
        <v>146</v>
      </c>
      <c r="G167" t="s">
        <v>130</v>
      </c>
      <c r="H167" s="2">
        <v>45269</v>
      </c>
      <c r="I167" s="4">
        <f t="shared" ca="1" si="34"/>
        <v>15</v>
      </c>
      <c r="J167" s="4">
        <f t="shared" ca="1" si="35"/>
        <v>109</v>
      </c>
      <c r="K167" s="2">
        <v>45301</v>
      </c>
      <c r="L167" s="4">
        <f t="shared" si="36"/>
        <v>32</v>
      </c>
      <c r="M167" t="s">
        <v>139</v>
      </c>
      <c r="N167" s="2">
        <v>45322</v>
      </c>
      <c r="O167" s="2">
        <v>45335</v>
      </c>
      <c r="P167"/>
      <c r="Q167" t="s">
        <v>153</v>
      </c>
    </row>
    <row r="168" spans="2:18" hidden="1" x14ac:dyDescent="0.3">
      <c r="B168" t="s">
        <v>126</v>
      </c>
      <c r="C168" t="s">
        <v>127</v>
      </c>
      <c r="D168">
        <v>611</v>
      </c>
      <c r="E168" t="s">
        <v>8</v>
      </c>
      <c r="F168" s="5" t="s">
        <v>145</v>
      </c>
      <c r="G168" t="s">
        <v>130</v>
      </c>
      <c r="H168" s="2">
        <v>45269</v>
      </c>
      <c r="I168" s="4">
        <f t="shared" ca="1" si="34"/>
        <v>15</v>
      </c>
      <c r="J168" s="4">
        <f t="shared" ca="1" si="35"/>
        <v>109</v>
      </c>
      <c r="K168" s="2">
        <v>45301</v>
      </c>
      <c r="L168" s="4">
        <f t="shared" si="36"/>
        <v>32</v>
      </c>
      <c r="M168" s="4" t="s">
        <v>139</v>
      </c>
      <c r="O168" s="2">
        <v>45350</v>
      </c>
      <c r="P168"/>
    </row>
    <row r="169" spans="2:18" hidden="1" x14ac:dyDescent="0.3">
      <c r="B169" t="s">
        <v>34</v>
      </c>
      <c r="C169" t="s">
        <v>127</v>
      </c>
      <c r="D169">
        <v>708</v>
      </c>
      <c r="F169" s="5" t="s">
        <v>134</v>
      </c>
      <c r="G169" t="s">
        <v>129</v>
      </c>
      <c r="H169" s="2">
        <v>45189</v>
      </c>
      <c r="I169" s="4">
        <f t="shared" ca="1" si="34"/>
        <v>27</v>
      </c>
      <c r="J169" s="4">
        <f t="shared" ca="1" si="35"/>
        <v>189</v>
      </c>
      <c r="L169" s="4" t="str">
        <f t="shared" si="36"/>
        <v>-</v>
      </c>
      <c r="M169" t="s">
        <v>140</v>
      </c>
      <c r="N169" s="2">
        <v>45322</v>
      </c>
      <c r="O169" s="2">
        <v>45336</v>
      </c>
      <c r="P169"/>
      <c r="Q169" t="s">
        <v>156</v>
      </c>
    </row>
    <row r="170" spans="2:18" hidden="1" x14ac:dyDescent="0.3">
      <c r="B170" t="s">
        <v>34</v>
      </c>
      <c r="C170" t="s">
        <v>127</v>
      </c>
      <c r="D170">
        <v>709</v>
      </c>
      <c r="F170" s="5" t="s">
        <v>134</v>
      </c>
      <c r="G170" t="s">
        <v>129</v>
      </c>
      <c r="H170" s="2">
        <v>45189</v>
      </c>
      <c r="I170" s="4">
        <f t="shared" ca="1" si="34"/>
        <v>27</v>
      </c>
      <c r="J170" s="4">
        <f t="shared" ca="1" si="35"/>
        <v>189</v>
      </c>
      <c r="L170" s="4" t="str">
        <f t="shared" si="36"/>
        <v>-</v>
      </c>
      <c r="M170" t="s">
        <v>140</v>
      </c>
      <c r="N170" s="2">
        <v>45322</v>
      </c>
      <c r="O170" s="2">
        <v>45365</v>
      </c>
      <c r="P170" s="5" t="s">
        <v>156</v>
      </c>
      <c r="Q170" s="19"/>
      <c r="R170" t="s">
        <v>219</v>
      </c>
    </row>
    <row r="171" spans="2:18" hidden="1" x14ac:dyDescent="0.3">
      <c r="B171" t="s">
        <v>34</v>
      </c>
      <c r="C171" t="s">
        <v>127</v>
      </c>
      <c r="D171">
        <v>711</v>
      </c>
      <c r="F171" s="5" t="s">
        <v>134</v>
      </c>
      <c r="G171" t="s">
        <v>129</v>
      </c>
      <c r="H171" s="2">
        <v>45189</v>
      </c>
      <c r="I171" s="4">
        <f t="shared" ca="1" si="34"/>
        <v>27</v>
      </c>
      <c r="J171" s="4">
        <f t="shared" ca="1" si="35"/>
        <v>189</v>
      </c>
      <c r="L171" s="4" t="str">
        <f t="shared" si="36"/>
        <v>-</v>
      </c>
      <c r="M171" t="s">
        <v>140</v>
      </c>
      <c r="N171" s="2">
        <v>45322</v>
      </c>
      <c r="O171" s="2">
        <v>45361</v>
      </c>
      <c r="P171" s="5" t="s">
        <v>156</v>
      </c>
      <c r="R171" t="s">
        <v>219</v>
      </c>
    </row>
    <row r="172" spans="2:18" hidden="1" x14ac:dyDescent="0.3">
      <c r="B172" t="s">
        <v>34</v>
      </c>
      <c r="C172" t="s">
        <v>127</v>
      </c>
      <c r="D172">
        <v>601</v>
      </c>
      <c r="E172" t="s">
        <v>8</v>
      </c>
      <c r="F172" s="5" t="s">
        <v>146</v>
      </c>
      <c r="G172" t="s">
        <v>130</v>
      </c>
      <c r="H172" s="2">
        <v>45269</v>
      </c>
      <c r="I172" s="4">
        <f t="shared" ca="1" si="34"/>
        <v>15</v>
      </c>
      <c r="J172" s="4">
        <f t="shared" ca="1" si="35"/>
        <v>109</v>
      </c>
      <c r="K172" s="2">
        <v>45301</v>
      </c>
      <c r="L172" s="4">
        <f t="shared" si="36"/>
        <v>32</v>
      </c>
      <c r="M172" t="s">
        <v>141</v>
      </c>
      <c r="N172" s="2">
        <v>45322</v>
      </c>
      <c r="O172" s="2">
        <v>45335</v>
      </c>
      <c r="P172" t="s">
        <v>153</v>
      </c>
    </row>
    <row r="173" spans="2:18" hidden="1" x14ac:dyDescent="0.3">
      <c r="B173" t="s">
        <v>5</v>
      </c>
      <c r="C173" t="s">
        <v>127</v>
      </c>
      <c r="D173">
        <v>649</v>
      </c>
      <c r="E173" t="s">
        <v>8</v>
      </c>
      <c r="F173" s="10" t="s">
        <v>86</v>
      </c>
      <c r="G173" t="s">
        <v>13</v>
      </c>
      <c r="H173" s="2">
        <v>45269</v>
      </c>
      <c r="I173" s="4">
        <f t="shared" ref="I173:I174" ca="1" si="40">IF(QUOTIENT(_xlfn.DAYS(TODAY(),H173), 7)&lt;1000, QUOTIENT(_xlfn.DAYS(TODAY(),H173), 7), "-")</f>
        <v>15</v>
      </c>
      <c r="J173" s="4">
        <f t="shared" ref="J173:J174" ca="1" si="41">IF(_xlfn.DAYS(TODAY(),H173)&lt;10000, _xlfn.DAYS(TODAY(),H173), "-")</f>
        <v>109</v>
      </c>
      <c r="L173" s="4" t="str">
        <f t="shared" ref="L173:L174" si="42">IF(_xlfn.DAYS(K173,H173)&gt;0, _xlfn.DAYS(K173,H173), "-")</f>
        <v>-</v>
      </c>
      <c r="M173" t="s">
        <v>155</v>
      </c>
      <c r="P173"/>
    </row>
    <row r="174" spans="2:18" hidden="1" x14ac:dyDescent="0.3">
      <c r="B174" t="s">
        <v>5</v>
      </c>
      <c r="C174" t="s">
        <v>127</v>
      </c>
      <c r="D174">
        <v>769</v>
      </c>
      <c r="F174" s="10" t="s">
        <v>87</v>
      </c>
      <c r="G174" t="s">
        <v>13</v>
      </c>
      <c r="I174" s="4" t="str">
        <f t="shared" ca="1" si="40"/>
        <v>-</v>
      </c>
      <c r="J174" s="4" t="str">
        <f t="shared" ca="1" si="41"/>
        <v>-</v>
      </c>
      <c r="L174" s="4" t="str">
        <f t="shared" si="42"/>
        <v>-</v>
      </c>
      <c r="M174" s="4" t="s">
        <v>154</v>
      </c>
      <c r="P174"/>
    </row>
    <row r="175" spans="2:18" hidden="1" x14ac:dyDescent="0.3">
      <c r="B175" t="s">
        <v>126</v>
      </c>
      <c r="C175" t="s">
        <v>127</v>
      </c>
      <c r="D175">
        <v>602</v>
      </c>
      <c r="E175" t="s">
        <v>8</v>
      </c>
      <c r="F175" s="10" t="s">
        <v>147</v>
      </c>
      <c r="G175" t="s">
        <v>130</v>
      </c>
      <c r="H175" s="2">
        <v>45269</v>
      </c>
      <c r="I175" s="4">
        <f t="shared" ca="1" si="34"/>
        <v>15</v>
      </c>
      <c r="J175" s="4">
        <f t="shared" ca="1" si="35"/>
        <v>109</v>
      </c>
      <c r="K175" s="2">
        <v>45301</v>
      </c>
      <c r="L175" s="4">
        <f t="shared" si="36"/>
        <v>32</v>
      </c>
      <c r="M175" s="4" t="s">
        <v>154</v>
      </c>
      <c r="P175"/>
    </row>
    <row r="176" spans="2:18" hidden="1" x14ac:dyDescent="0.3">
      <c r="B176" t="s">
        <v>34</v>
      </c>
      <c r="C176" t="s">
        <v>127</v>
      </c>
      <c r="D176">
        <v>603</v>
      </c>
      <c r="E176" t="s">
        <v>8</v>
      </c>
      <c r="F176" s="5" t="s">
        <v>146</v>
      </c>
      <c r="G176" t="s">
        <v>129</v>
      </c>
      <c r="H176" s="2">
        <v>45269</v>
      </c>
      <c r="I176" s="4">
        <f t="shared" ca="1" si="34"/>
        <v>15</v>
      </c>
      <c r="J176" s="4">
        <f t="shared" ca="1" si="35"/>
        <v>109</v>
      </c>
      <c r="K176" s="2">
        <v>45301</v>
      </c>
      <c r="L176" s="4">
        <f t="shared" si="36"/>
        <v>32</v>
      </c>
      <c r="M176" t="s">
        <v>142</v>
      </c>
      <c r="N176" s="2">
        <v>45322</v>
      </c>
      <c r="O176" s="2">
        <v>45359</v>
      </c>
      <c r="P176" s="5" t="s">
        <v>156</v>
      </c>
      <c r="R176" t="s">
        <v>220</v>
      </c>
    </row>
    <row r="177" spans="2:18" hidden="1" x14ac:dyDescent="0.3">
      <c r="B177" t="s">
        <v>34</v>
      </c>
      <c r="C177" t="s">
        <v>127</v>
      </c>
      <c r="D177">
        <v>604</v>
      </c>
      <c r="E177" t="s">
        <v>8</v>
      </c>
      <c r="F177" s="5" t="s">
        <v>146</v>
      </c>
      <c r="G177" t="s">
        <v>129</v>
      </c>
      <c r="H177" s="2">
        <v>45269</v>
      </c>
      <c r="I177" s="4">
        <f t="shared" ca="1" si="34"/>
        <v>15</v>
      </c>
      <c r="J177" s="4">
        <f t="shared" ca="1" si="35"/>
        <v>109</v>
      </c>
      <c r="K177" s="2">
        <v>45301</v>
      </c>
      <c r="L177" s="4">
        <f t="shared" si="36"/>
        <v>32</v>
      </c>
      <c r="M177" t="s">
        <v>142</v>
      </c>
      <c r="N177" s="2">
        <v>45322</v>
      </c>
      <c r="O177" s="2">
        <v>45365</v>
      </c>
      <c r="P177" s="5" t="s">
        <v>156</v>
      </c>
      <c r="R177" t="s">
        <v>220</v>
      </c>
    </row>
    <row r="178" spans="2:18" hidden="1" x14ac:dyDescent="0.3">
      <c r="B178" t="s">
        <v>34</v>
      </c>
      <c r="C178" t="s">
        <v>127</v>
      </c>
      <c r="D178">
        <v>605</v>
      </c>
      <c r="E178" t="s">
        <v>8</v>
      </c>
      <c r="F178" s="5" t="s">
        <v>146</v>
      </c>
      <c r="G178" t="s">
        <v>129</v>
      </c>
      <c r="H178" s="2">
        <v>45269</v>
      </c>
      <c r="I178" s="4">
        <f t="shared" ca="1" si="34"/>
        <v>15</v>
      </c>
      <c r="J178" s="4">
        <f t="shared" ca="1" si="35"/>
        <v>109</v>
      </c>
      <c r="K178" s="2">
        <v>45301</v>
      </c>
      <c r="L178" s="4">
        <f t="shared" si="36"/>
        <v>32</v>
      </c>
      <c r="M178" t="s">
        <v>142</v>
      </c>
      <c r="N178" s="2">
        <v>45322</v>
      </c>
      <c r="O178" s="2">
        <v>45365</v>
      </c>
      <c r="P178" s="5" t="s">
        <v>156</v>
      </c>
      <c r="R178" t="s">
        <v>220</v>
      </c>
    </row>
    <row r="179" spans="2:18" hidden="1" x14ac:dyDescent="0.3">
      <c r="B179" t="s">
        <v>34</v>
      </c>
      <c r="C179" t="s">
        <v>127</v>
      </c>
      <c r="D179">
        <v>650</v>
      </c>
      <c r="E179" t="s">
        <v>8</v>
      </c>
      <c r="F179" s="5" t="s">
        <v>146</v>
      </c>
      <c r="G179" t="s">
        <v>129</v>
      </c>
      <c r="H179" s="2">
        <v>45269</v>
      </c>
      <c r="I179" s="4">
        <f t="shared" ca="1" si="34"/>
        <v>15</v>
      </c>
      <c r="J179" s="4">
        <f t="shared" ca="1" si="35"/>
        <v>109</v>
      </c>
      <c r="L179" s="4" t="str">
        <f t="shared" si="36"/>
        <v>-</v>
      </c>
      <c r="M179" t="s">
        <v>142</v>
      </c>
      <c r="N179" s="2">
        <v>45322</v>
      </c>
      <c r="O179" s="2">
        <v>45365</v>
      </c>
      <c r="P179" s="5" t="s">
        <v>156</v>
      </c>
      <c r="R179" t="s">
        <v>220</v>
      </c>
    </row>
    <row r="180" spans="2:18" hidden="1" x14ac:dyDescent="0.3">
      <c r="B180" t="s">
        <v>34</v>
      </c>
      <c r="C180" t="s">
        <v>110</v>
      </c>
      <c r="D180" t="s">
        <v>274</v>
      </c>
      <c r="E180" t="s">
        <v>16</v>
      </c>
      <c r="F180" s="5" t="s">
        <v>134</v>
      </c>
      <c r="G180" t="s">
        <v>159</v>
      </c>
      <c r="H180" s="2">
        <v>45300</v>
      </c>
      <c r="I180" s="4">
        <f t="shared" ref="I180:I189" ca="1" si="43">IF(QUOTIENT(_xlfn.DAYS(TODAY(),H180), 7)&lt;1000, QUOTIENT(_xlfn.DAYS(TODAY(),H180), 7), "-")</f>
        <v>11</v>
      </c>
      <c r="J180" s="4">
        <f t="shared" ref="J180:J189" ca="1" si="44">IF(_xlfn.DAYS(TODAY(),H180)&lt;10000, _xlfn.DAYS(TODAY(),H180), "-")</f>
        <v>78</v>
      </c>
      <c r="K180" s="7">
        <v>45324</v>
      </c>
      <c r="L180" s="4">
        <f t="shared" ref="L180:L186" si="45">IF(_xlfn.DAYS(K180,H180)&gt;0, _xlfn.DAYS(K180,H180), "-")</f>
        <v>24</v>
      </c>
      <c r="M180" t="s">
        <v>158</v>
      </c>
      <c r="O180" s="2">
        <v>45370</v>
      </c>
      <c r="P180" s="5" t="s">
        <v>273</v>
      </c>
      <c r="R180" t="s">
        <v>280</v>
      </c>
    </row>
    <row r="181" spans="2:18" hidden="1" x14ac:dyDescent="0.3">
      <c r="B181" t="s">
        <v>34</v>
      </c>
      <c r="C181" t="s">
        <v>110</v>
      </c>
      <c r="D181" t="s">
        <v>275</v>
      </c>
      <c r="E181" t="s">
        <v>16</v>
      </c>
      <c r="F181" s="5" t="s">
        <v>134</v>
      </c>
      <c r="G181" t="s">
        <v>159</v>
      </c>
      <c r="H181" s="2">
        <v>45300</v>
      </c>
      <c r="I181" s="4">
        <f t="shared" ca="1" si="43"/>
        <v>11</v>
      </c>
      <c r="J181" s="4">
        <f t="shared" ca="1" si="44"/>
        <v>78</v>
      </c>
      <c r="K181" s="7">
        <v>45324</v>
      </c>
      <c r="L181" s="4">
        <f t="shared" si="45"/>
        <v>24</v>
      </c>
      <c r="M181" t="s">
        <v>158</v>
      </c>
      <c r="O181" s="2">
        <v>45370</v>
      </c>
      <c r="P181" s="5" t="s">
        <v>273</v>
      </c>
      <c r="R181" t="s">
        <v>280</v>
      </c>
    </row>
    <row r="182" spans="2:18" hidden="1" x14ac:dyDescent="0.3">
      <c r="B182" t="s">
        <v>34</v>
      </c>
      <c r="C182" t="s">
        <v>110</v>
      </c>
      <c r="D182" t="s">
        <v>276</v>
      </c>
      <c r="E182" t="s">
        <v>16</v>
      </c>
      <c r="F182" s="5" t="s">
        <v>134</v>
      </c>
      <c r="G182" t="s">
        <v>159</v>
      </c>
      <c r="H182" s="2">
        <v>45300</v>
      </c>
      <c r="I182" s="4">
        <f t="shared" ca="1" si="43"/>
        <v>11</v>
      </c>
      <c r="J182" s="4">
        <f t="shared" ca="1" si="44"/>
        <v>78</v>
      </c>
      <c r="K182" s="7">
        <v>45324</v>
      </c>
      <c r="L182" s="4">
        <f t="shared" si="45"/>
        <v>24</v>
      </c>
      <c r="M182" t="s">
        <v>158</v>
      </c>
      <c r="O182" s="2">
        <v>45370</v>
      </c>
      <c r="P182" s="5" t="s">
        <v>273</v>
      </c>
      <c r="R182" t="s">
        <v>280</v>
      </c>
    </row>
    <row r="183" spans="2:18" hidden="1" x14ac:dyDescent="0.3">
      <c r="B183" t="s">
        <v>34</v>
      </c>
      <c r="C183" t="s">
        <v>110</v>
      </c>
      <c r="D183" t="s">
        <v>277</v>
      </c>
      <c r="E183" t="s">
        <v>16</v>
      </c>
      <c r="F183" s="5" t="s">
        <v>134</v>
      </c>
      <c r="G183" t="s">
        <v>159</v>
      </c>
      <c r="H183" s="2">
        <v>45300</v>
      </c>
      <c r="I183" s="4">
        <f t="shared" ca="1" si="43"/>
        <v>11</v>
      </c>
      <c r="J183" s="4">
        <f t="shared" ca="1" si="44"/>
        <v>78</v>
      </c>
      <c r="K183" s="7">
        <v>45324</v>
      </c>
      <c r="L183" s="4">
        <f t="shared" si="45"/>
        <v>24</v>
      </c>
      <c r="M183" t="s">
        <v>158</v>
      </c>
      <c r="O183" s="2">
        <v>45370</v>
      </c>
      <c r="P183" s="5" t="s">
        <v>273</v>
      </c>
      <c r="R183" t="s">
        <v>281</v>
      </c>
    </row>
    <row r="184" spans="2:18" hidden="1" x14ac:dyDescent="0.3">
      <c r="B184" t="s">
        <v>34</v>
      </c>
      <c r="C184" t="s">
        <v>110</v>
      </c>
      <c r="D184" t="s">
        <v>278</v>
      </c>
      <c r="E184" t="s">
        <v>16</v>
      </c>
      <c r="F184" s="5" t="s">
        <v>134</v>
      </c>
      <c r="G184" t="s">
        <v>159</v>
      </c>
      <c r="H184" s="2">
        <v>45300</v>
      </c>
      <c r="I184" s="4">
        <f t="shared" ca="1" si="43"/>
        <v>11</v>
      </c>
      <c r="J184" s="4">
        <f t="shared" ca="1" si="44"/>
        <v>78</v>
      </c>
      <c r="K184" s="7">
        <v>45324</v>
      </c>
      <c r="L184" s="4">
        <f t="shared" si="45"/>
        <v>24</v>
      </c>
      <c r="M184" t="s">
        <v>158</v>
      </c>
      <c r="O184" s="2">
        <v>45370</v>
      </c>
      <c r="P184" s="5" t="s">
        <v>273</v>
      </c>
      <c r="R184" t="s">
        <v>281</v>
      </c>
    </row>
    <row r="185" spans="2:18" hidden="1" x14ac:dyDescent="0.3">
      <c r="B185" t="s">
        <v>34</v>
      </c>
      <c r="C185" t="s">
        <v>110</v>
      </c>
      <c r="D185" t="s">
        <v>279</v>
      </c>
      <c r="E185" t="s">
        <v>16</v>
      </c>
      <c r="F185" s="5" t="s">
        <v>134</v>
      </c>
      <c r="G185" t="s">
        <v>159</v>
      </c>
      <c r="H185" s="2">
        <v>45300</v>
      </c>
      <c r="I185" s="4">
        <f t="shared" ca="1" si="43"/>
        <v>11</v>
      </c>
      <c r="J185" s="4">
        <f t="shared" ca="1" si="44"/>
        <v>78</v>
      </c>
      <c r="K185" s="7">
        <v>45324</v>
      </c>
      <c r="L185" s="4">
        <f t="shared" si="45"/>
        <v>24</v>
      </c>
      <c r="M185" t="s">
        <v>158</v>
      </c>
      <c r="O185" s="2">
        <v>45370</v>
      </c>
      <c r="P185" s="5" t="s">
        <v>273</v>
      </c>
      <c r="R185" t="s">
        <v>281</v>
      </c>
    </row>
    <row r="186" spans="2:18" x14ac:dyDescent="0.3">
      <c r="B186" t="s">
        <v>160</v>
      </c>
      <c r="C186" t="s">
        <v>110</v>
      </c>
      <c r="E186" t="s">
        <v>16</v>
      </c>
      <c r="F186" s="5" t="s">
        <v>134</v>
      </c>
      <c r="G186" t="s">
        <v>247</v>
      </c>
      <c r="H186" s="2">
        <v>45324</v>
      </c>
      <c r="I186" s="4">
        <f t="shared" ca="1" si="43"/>
        <v>7</v>
      </c>
      <c r="J186" s="4">
        <f t="shared" ca="1" si="44"/>
        <v>54</v>
      </c>
      <c r="K186" s="2">
        <v>45357</v>
      </c>
      <c r="L186" s="4">
        <f t="shared" si="45"/>
        <v>33</v>
      </c>
      <c r="M186" t="s">
        <v>245</v>
      </c>
    </row>
    <row r="187" spans="2:18" hidden="1" x14ac:dyDescent="0.3">
      <c r="B187" t="s">
        <v>5</v>
      </c>
      <c r="C187" t="s">
        <v>127</v>
      </c>
      <c r="F187" s="5" t="s">
        <v>265</v>
      </c>
      <c r="G187" t="s">
        <v>263</v>
      </c>
      <c r="I187" s="4" t="str">
        <f t="shared" ref="I187" ca="1" si="46">IF(QUOTIENT(_xlfn.DAYS(TODAY(),H187), 7)&lt;1000, QUOTIENT(_xlfn.DAYS(TODAY(),H187), 7), "-")</f>
        <v>-</v>
      </c>
      <c r="J187" s="4" t="str">
        <f t="shared" ref="J187" ca="1" si="47">IF(_xlfn.DAYS(TODAY(),H187)&lt;10000, _xlfn.DAYS(TODAY(),H187), "-")</f>
        <v>-</v>
      </c>
      <c r="L187" s="4" t="str">
        <f t="shared" ref="L187:L189" si="48">IF(_xlfn.DAYS(K187,H187)&gt;0, _xlfn.DAYS(K187,H187), "-")</f>
        <v>-</v>
      </c>
      <c r="M187" s="4" t="s">
        <v>267</v>
      </c>
    </row>
    <row r="188" spans="2:18" hidden="1" x14ac:dyDescent="0.3">
      <c r="B188" t="s">
        <v>5</v>
      </c>
      <c r="C188" t="s">
        <v>127</v>
      </c>
      <c r="F188" s="5" t="s">
        <v>266</v>
      </c>
      <c r="G188" t="s">
        <v>264</v>
      </c>
      <c r="H188" s="2">
        <v>45269</v>
      </c>
      <c r="I188" s="4">
        <f t="shared" ca="1" si="43"/>
        <v>15</v>
      </c>
      <c r="J188" s="4">
        <f t="shared" ca="1" si="44"/>
        <v>109</v>
      </c>
      <c r="L188" s="4" t="str">
        <f t="shared" si="48"/>
        <v>-</v>
      </c>
      <c r="M188" s="4" t="s">
        <v>267</v>
      </c>
    </row>
    <row r="189" spans="2:18" hidden="1" x14ac:dyDescent="0.3">
      <c r="B189" t="s">
        <v>5</v>
      </c>
      <c r="C189" t="s">
        <v>127</v>
      </c>
      <c r="E189" t="s">
        <v>16</v>
      </c>
      <c r="G189" t="s">
        <v>263</v>
      </c>
      <c r="H189" s="2">
        <v>45327</v>
      </c>
      <c r="I189" s="4">
        <f t="shared" ca="1" si="43"/>
        <v>7</v>
      </c>
      <c r="J189" s="4">
        <f t="shared" ca="1" si="44"/>
        <v>51</v>
      </c>
      <c r="L189" s="4" t="str">
        <f t="shared" si="48"/>
        <v>-</v>
      </c>
      <c r="M189" t="s">
        <v>224</v>
      </c>
      <c r="P189"/>
      <c r="Q189" t="s">
        <v>236</v>
      </c>
      <c r="R189" t="s">
        <v>209</v>
      </c>
    </row>
    <row r="190" spans="2:18" hidden="1" x14ac:dyDescent="0.3">
      <c r="B190" t="s">
        <v>5</v>
      </c>
      <c r="C190" t="s">
        <v>127</v>
      </c>
      <c r="E190" t="s">
        <v>16</v>
      </c>
      <c r="G190" t="s">
        <v>263</v>
      </c>
      <c r="H190" s="2">
        <v>45327</v>
      </c>
      <c r="I190" s="4">
        <f t="shared" ref="I190:I194" ca="1" si="49">IF(QUOTIENT(_xlfn.DAYS(TODAY(),H190), 7)&lt;1000, QUOTIENT(_xlfn.DAYS(TODAY(),H190), 7), "-")</f>
        <v>7</v>
      </c>
      <c r="J190" s="4">
        <f t="shared" ref="J190:J194" ca="1" si="50">IF(_xlfn.DAYS(TODAY(),H190)&lt;10000, _xlfn.DAYS(TODAY(),H190), "-")</f>
        <v>51</v>
      </c>
      <c r="L190" s="4" t="str">
        <f t="shared" ref="L190:L194" si="51">IF(_xlfn.DAYS(K190,H190)&gt;0, _xlfn.DAYS(K190,H190), "-")</f>
        <v>-</v>
      </c>
      <c r="M190" t="s">
        <v>224</v>
      </c>
      <c r="P190"/>
      <c r="Q190" t="s">
        <v>236</v>
      </c>
      <c r="R190" t="s">
        <v>209</v>
      </c>
    </row>
    <row r="191" spans="2:18" hidden="1" x14ac:dyDescent="0.3">
      <c r="B191" t="s">
        <v>5</v>
      </c>
      <c r="C191" t="s">
        <v>127</v>
      </c>
      <c r="E191" s="2" t="s">
        <v>16</v>
      </c>
      <c r="G191" t="s">
        <v>263</v>
      </c>
      <c r="H191" s="2">
        <v>45327</v>
      </c>
      <c r="I191" s="4">
        <f t="shared" ca="1" si="49"/>
        <v>7</v>
      </c>
      <c r="J191" s="4">
        <f t="shared" ca="1" si="50"/>
        <v>51</v>
      </c>
      <c r="L191" s="4" t="str">
        <f t="shared" si="51"/>
        <v>-</v>
      </c>
      <c r="M191" t="s">
        <v>224</v>
      </c>
      <c r="P191"/>
      <c r="Q191" t="s">
        <v>236</v>
      </c>
      <c r="R191" t="s">
        <v>209</v>
      </c>
    </row>
    <row r="192" spans="2:18" hidden="1" x14ac:dyDescent="0.3">
      <c r="B192" t="s">
        <v>5</v>
      </c>
      <c r="C192" t="s">
        <v>127</v>
      </c>
      <c r="E192" t="s">
        <v>16</v>
      </c>
      <c r="G192" t="s">
        <v>263</v>
      </c>
      <c r="H192" s="2">
        <v>45327</v>
      </c>
      <c r="I192" s="4">
        <f t="shared" ca="1" si="49"/>
        <v>7</v>
      </c>
      <c r="J192" s="4">
        <f t="shared" ca="1" si="50"/>
        <v>51</v>
      </c>
      <c r="L192" s="4" t="str">
        <f t="shared" si="51"/>
        <v>-</v>
      </c>
      <c r="M192" t="s">
        <v>224</v>
      </c>
      <c r="P192"/>
      <c r="Q192" t="s">
        <v>236</v>
      </c>
      <c r="R192" t="s">
        <v>209</v>
      </c>
    </row>
    <row r="193" spans="2:18" hidden="1" x14ac:dyDescent="0.3">
      <c r="B193" t="s">
        <v>5</v>
      </c>
      <c r="C193" t="s">
        <v>127</v>
      </c>
      <c r="E193" t="s">
        <v>16</v>
      </c>
      <c r="G193" t="s">
        <v>264</v>
      </c>
      <c r="H193" s="2">
        <v>45327</v>
      </c>
      <c r="I193" s="4">
        <f t="shared" ca="1" si="49"/>
        <v>7</v>
      </c>
      <c r="J193" s="4">
        <f t="shared" ca="1" si="50"/>
        <v>51</v>
      </c>
      <c r="L193" s="4" t="str">
        <f t="shared" si="51"/>
        <v>-</v>
      </c>
      <c r="M193" t="s">
        <v>225</v>
      </c>
      <c r="P193"/>
      <c r="Q193" t="s">
        <v>236</v>
      </c>
      <c r="R193" t="s">
        <v>209</v>
      </c>
    </row>
    <row r="194" spans="2:18" hidden="1" x14ac:dyDescent="0.3">
      <c r="B194" t="s">
        <v>5</v>
      </c>
      <c r="C194" t="s">
        <v>127</v>
      </c>
      <c r="E194" t="s">
        <v>16</v>
      </c>
      <c r="G194" t="s">
        <v>264</v>
      </c>
      <c r="H194" s="2">
        <v>45327</v>
      </c>
      <c r="I194" s="4">
        <f t="shared" ca="1" si="49"/>
        <v>7</v>
      </c>
      <c r="J194" s="4">
        <f t="shared" ca="1" si="50"/>
        <v>51</v>
      </c>
      <c r="L194" s="4" t="str">
        <f t="shared" si="51"/>
        <v>-</v>
      </c>
      <c r="M194" t="s">
        <v>225</v>
      </c>
      <c r="P194"/>
      <c r="Q194" t="s">
        <v>236</v>
      </c>
      <c r="R194" t="s">
        <v>209</v>
      </c>
    </row>
    <row r="195" spans="2:18" hidden="1" x14ac:dyDescent="0.3">
      <c r="B195" t="s">
        <v>164</v>
      </c>
      <c r="C195" t="s">
        <v>111</v>
      </c>
      <c r="D195">
        <v>639</v>
      </c>
      <c r="E195" t="s">
        <v>173</v>
      </c>
      <c r="F195" s="5" t="s">
        <v>167</v>
      </c>
      <c r="G195" t="s">
        <v>172</v>
      </c>
      <c r="I195" s="4" t="str">
        <f t="shared" ref="I195:I200" ca="1" si="52">IF(QUOTIENT(_xlfn.DAYS(TODAY(),H195), 7)&lt;1000, QUOTIENT(_xlfn.DAYS(TODAY(),H195), 7), "-")</f>
        <v>-</v>
      </c>
      <c r="J195" s="4" t="str">
        <f t="shared" ref="J195:J200" ca="1" si="53">IF(_xlfn.DAYS(TODAY(),H195)&lt;10000, _xlfn.DAYS(TODAY(),H195), "-")</f>
        <v>-</v>
      </c>
      <c r="L195" s="4" t="str">
        <f t="shared" ref="L195:L200" si="54">IF(_xlfn.DAYS(K195,H195)&gt;0, _xlfn.DAYS(K195,H195), "-")</f>
        <v>-</v>
      </c>
      <c r="M195" s="4" t="s">
        <v>165</v>
      </c>
      <c r="P195"/>
    </row>
    <row r="196" spans="2:18" hidden="1" x14ac:dyDescent="0.3">
      <c r="B196" t="s">
        <v>164</v>
      </c>
      <c r="C196" t="s">
        <v>111</v>
      </c>
      <c r="D196">
        <v>640</v>
      </c>
      <c r="E196" t="s">
        <v>173</v>
      </c>
      <c r="F196" s="5" t="s">
        <v>168</v>
      </c>
      <c r="G196" t="s">
        <v>172</v>
      </c>
      <c r="I196" s="4" t="str">
        <f t="shared" ca="1" si="52"/>
        <v>-</v>
      </c>
      <c r="J196" s="4" t="str">
        <f t="shared" ca="1" si="53"/>
        <v>-</v>
      </c>
      <c r="L196" s="4" t="str">
        <f t="shared" si="54"/>
        <v>-</v>
      </c>
      <c r="M196" s="4" t="s">
        <v>165</v>
      </c>
      <c r="P196"/>
      <c r="Q196" t="s">
        <v>171</v>
      </c>
    </row>
    <row r="197" spans="2:18" hidden="1" x14ac:dyDescent="0.3">
      <c r="B197" t="s">
        <v>164</v>
      </c>
      <c r="C197" t="s">
        <v>111</v>
      </c>
      <c r="D197">
        <v>641</v>
      </c>
      <c r="E197" t="s">
        <v>173</v>
      </c>
      <c r="F197" s="5" t="s">
        <v>169</v>
      </c>
      <c r="G197" t="s">
        <v>172</v>
      </c>
      <c r="I197" s="4" t="str">
        <f t="shared" ca="1" si="52"/>
        <v>-</v>
      </c>
      <c r="J197" s="4" t="str">
        <f t="shared" ca="1" si="53"/>
        <v>-</v>
      </c>
      <c r="L197" s="4" t="str">
        <f t="shared" si="54"/>
        <v>-</v>
      </c>
      <c r="M197" s="4" t="s">
        <v>166</v>
      </c>
      <c r="P197"/>
    </row>
    <row r="198" spans="2:18" hidden="1" x14ac:dyDescent="0.3">
      <c r="B198" t="s">
        <v>164</v>
      </c>
      <c r="C198" t="s">
        <v>111</v>
      </c>
      <c r="D198">
        <v>642</v>
      </c>
      <c r="E198" t="s">
        <v>173</v>
      </c>
      <c r="F198" s="5" t="s">
        <v>169</v>
      </c>
      <c r="G198" t="s">
        <v>172</v>
      </c>
      <c r="I198" s="4" t="str">
        <f t="shared" ca="1" si="52"/>
        <v>-</v>
      </c>
      <c r="J198" s="4" t="str">
        <f t="shared" ca="1" si="53"/>
        <v>-</v>
      </c>
      <c r="L198" s="4" t="str">
        <f t="shared" si="54"/>
        <v>-</v>
      </c>
      <c r="M198" s="4" t="s">
        <v>166</v>
      </c>
      <c r="P198"/>
    </row>
    <row r="199" spans="2:18" hidden="1" x14ac:dyDescent="0.3">
      <c r="B199" t="s">
        <v>164</v>
      </c>
      <c r="C199" t="s">
        <v>111</v>
      </c>
      <c r="D199">
        <v>643</v>
      </c>
      <c r="E199" t="s">
        <v>173</v>
      </c>
      <c r="F199" s="5" t="s">
        <v>168</v>
      </c>
      <c r="G199" t="s">
        <v>172</v>
      </c>
      <c r="I199" s="4" t="str">
        <f t="shared" ca="1" si="52"/>
        <v>-</v>
      </c>
      <c r="J199" s="4" t="str">
        <f t="shared" ca="1" si="53"/>
        <v>-</v>
      </c>
      <c r="L199" s="4" t="str">
        <f t="shared" si="54"/>
        <v>-</v>
      </c>
      <c r="M199" s="4" t="s">
        <v>166</v>
      </c>
      <c r="P199"/>
    </row>
    <row r="200" spans="2:18" hidden="1" x14ac:dyDescent="0.3">
      <c r="B200" t="s">
        <v>164</v>
      </c>
      <c r="C200" t="s">
        <v>111</v>
      </c>
      <c r="D200">
        <v>644</v>
      </c>
      <c r="E200" t="s">
        <v>173</v>
      </c>
      <c r="F200" s="5" t="s">
        <v>170</v>
      </c>
      <c r="G200" t="s">
        <v>172</v>
      </c>
      <c r="I200" s="4" t="str">
        <f t="shared" ca="1" si="52"/>
        <v>-</v>
      </c>
      <c r="J200" s="4" t="str">
        <f t="shared" ca="1" si="53"/>
        <v>-</v>
      </c>
      <c r="L200" s="4" t="str">
        <f t="shared" si="54"/>
        <v>-</v>
      </c>
      <c r="M200" s="4" t="s">
        <v>166</v>
      </c>
      <c r="P200"/>
      <c r="Q200" t="s">
        <v>171</v>
      </c>
    </row>
    <row r="201" spans="2:18" hidden="1" x14ac:dyDescent="0.3">
      <c r="B201" t="s">
        <v>5</v>
      </c>
      <c r="C201" t="s">
        <v>112</v>
      </c>
      <c r="D201" t="s">
        <v>229</v>
      </c>
      <c r="E201" t="s">
        <v>7</v>
      </c>
      <c r="F201" s="5" t="s">
        <v>238</v>
      </c>
      <c r="G201" t="s">
        <v>264</v>
      </c>
      <c r="H201" s="2">
        <v>45332</v>
      </c>
      <c r="I201" s="4">
        <f t="shared" ref="I201" ca="1" si="55">IF(QUOTIENT(_xlfn.DAYS(TODAY(),H201), 7)&lt;1000, QUOTIENT(_xlfn.DAYS(TODAY(),H201), 7), "-")</f>
        <v>6</v>
      </c>
      <c r="J201" s="4">
        <f t="shared" ref="J201" ca="1" si="56">IF(_xlfn.DAYS(TODAY(),H201)&lt;10000, _xlfn.DAYS(TODAY(),H201), "-")</f>
        <v>46</v>
      </c>
      <c r="L201" s="4" t="str">
        <f t="shared" ref="L201" si="57">IF(_xlfn.DAYS(K201,H201)&gt;0, _xlfn.DAYS(K201,H201), "-")</f>
        <v>-</v>
      </c>
      <c r="M201" t="s">
        <v>226</v>
      </c>
      <c r="O201" s="2">
        <v>45364</v>
      </c>
      <c r="P201"/>
      <c r="Q201" t="s">
        <v>171</v>
      </c>
      <c r="R201" t="s">
        <v>202</v>
      </c>
    </row>
    <row r="202" spans="2:18" hidden="1" x14ac:dyDescent="0.3">
      <c r="B202" t="s">
        <v>5</v>
      </c>
      <c r="C202" t="s">
        <v>112</v>
      </c>
      <c r="D202" t="s">
        <v>230</v>
      </c>
      <c r="E202" t="s">
        <v>8</v>
      </c>
      <c r="F202" s="5" t="s">
        <v>239</v>
      </c>
      <c r="G202" t="s">
        <v>264</v>
      </c>
      <c r="H202" s="2">
        <v>45332</v>
      </c>
      <c r="I202" s="4">
        <f t="shared" ref="I202:I216" ca="1" si="58">IF(QUOTIENT(_xlfn.DAYS(TODAY(),H202), 7)&lt;1000, QUOTIENT(_xlfn.DAYS(TODAY(),H202), 7), "-")</f>
        <v>6</v>
      </c>
      <c r="J202" s="4">
        <f t="shared" ref="J202:J216" ca="1" si="59">IF(_xlfn.DAYS(TODAY(),H202)&lt;10000, _xlfn.DAYS(TODAY(),H202), "-")</f>
        <v>46</v>
      </c>
      <c r="L202" s="4" t="str">
        <f t="shared" ref="L202:L216" si="60">IF(_xlfn.DAYS(K202,H202)&gt;0, _xlfn.DAYS(K202,H202), "-")</f>
        <v>-</v>
      </c>
      <c r="M202" t="s">
        <v>226</v>
      </c>
      <c r="O202" s="2">
        <v>45364</v>
      </c>
      <c r="P202"/>
      <c r="Q202" t="s">
        <v>171</v>
      </c>
      <c r="R202" t="s">
        <v>202</v>
      </c>
    </row>
    <row r="203" spans="2:18" hidden="1" x14ac:dyDescent="0.3">
      <c r="B203" t="s">
        <v>5</v>
      </c>
      <c r="C203" t="s">
        <v>112</v>
      </c>
      <c r="D203" t="s">
        <v>231</v>
      </c>
      <c r="E203" t="s">
        <v>8</v>
      </c>
      <c r="F203" s="5" t="s">
        <v>239</v>
      </c>
      <c r="G203" t="s">
        <v>264</v>
      </c>
      <c r="H203" s="2">
        <v>45332</v>
      </c>
      <c r="I203" s="4">
        <f t="shared" ca="1" si="58"/>
        <v>6</v>
      </c>
      <c r="J203" s="4">
        <f t="shared" ca="1" si="59"/>
        <v>46</v>
      </c>
      <c r="L203" s="4" t="str">
        <f t="shared" si="60"/>
        <v>-</v>
      </c>
      <c r="M203" t="s">
        <v>226</v>
      </c>
      <c r="O203" s="2">
        <v>45364</v>
      </c>
      <c r="P203"/>
      <c r="Q203" t="s">
        <v>171</v>
      </c>
      <c r="R203" t="s">
        <v>202</v>
      </c>
    </row>
    <row r="204" spans="2:18" hidden="1" x14ac:dyDescent="0.3">
      <c r="B204" t="s">
        <v>5</v>
      </c>
      <c r="C204" t="s">
        <v>112</v>
      </c>
      <c r="D204" t="s">
        <v>229</v>
      </c>
      <c r="E204" t="s">
        <v>8</v>
      </c>
      <c r="F204" s="5" t="s">
        <v>239</v>
      </c>
      <c r="G204" t="s">
        <v>263</v>
      </c>
      <c r="H204" s="2">
        <v>45332</v>
      </c>
      <c r="I204" s="4">
        <f t="shared" ca="1" si="58"/>
        <v>6</v>
      </c>
      <c r="J204" s="4">
        <f t="shared" ca="1" si="59"/>
        <v>46</v>
      </c>
      <c r="L204" s="4" t="str">
        <f t="shared" si="60"/>
        <v>-</v>
      </c>
      <c r="M204" t="s">
        <v>227</v>
      </c>
      <c r="O204" s="2">
        <v>45364</v>
      </c>
      <c r="P204"/>
      <c r="Q204" t="s">
        <v>171</v>
      </c>
      <c r="R204" t="s">
        <v>202</v>
      </c>
    </row>
    <row r="205" spans="2:18" hidden="1" x14ac:dyDescent="0.3">
      <c r="B205" t="s">
        <v>5</v>
      </c>
      <c r="C205" t="s">
        <v>112</v>
      </c>
      <c r="D205" t="s">
        <v>230</v>
      </c>
      <c r="E205" t="s">
        <v>8</v>
      </c>
      <c r="F205" s="5" t="s">
        <v>239</v>
      </c>
      <c r="G205" t="s">
        <v>263</v>
      </c>
      <c r="H205" s="2">
        <v>45332</v>
      </c>
      <c r="I205" s="4">
        <f t="shared" ca="1" si="58"/>
        <v>6</v>
      </c>
      <c r="J205" s="4">
        <f t="shared" ca="1" si="59"/>
        <v>46</v>
      </c>
      <c r="L205" s="4" t="str">
        <f t="shared" si="60"/>
        <v>-</v>
      </c>
      <c r="M205" t="s">
        <v>227</v>
      </c>
      <c r="O205" s="2">
        <v>45364</v>
      </c>
      <c r="P205"/>
      <c r="Q205" t="s">
        <v>171</v>
      </c>
      <c r="R205" t="s">
        <v>202</v>
      </c>
    </row>
    <row r="206" spans="2:18" hidden="1" x14ac:dyDescent="0.3">
      <c r="B206" t="s">
        <v>5</v>
      </c>
      <c r="C206" t="s">
        <v>112</v>
      </c>
      <c r="D206" t="s">
        <v>231</v>
      </c>
      <c r="E206" t="s">
        <v>7</v>
      </c>
      <c r="F206" s="5" t="s">
        <v>239</v>
      </c>
      <c r="G206" t="s">
        <v>263</v>
      </c>
      <c r="H206" s="2">
        <v>45332</v>
      </c>
      <c r="I206" s="4">
        <f t="shared" ca="1" si="58"/>
        <v>6</v>
      </c>
      <c r="J206" s="4">
        <f t="shared" ca="1" si="59"/>
        <v>46</v>
      </c>
      <c r="L206" s="4" t="str">
        <f t="shared" si="60"/>
        <v>-</v>
      </c>
      <c r="M206" t="s">
        <v>227</v>
      </c>
      <c r="O206" s="2">
        <v>45364</v>
      </c>
      <c r="P206"/>
      <c r="Q206" t="s">
        <v>171</v>
      </c>
      <c r="R206" t="s">
        <v>202</v>
      </c>
    </row>
    <row r="207" spans="2:18" hidden="1" x14ac:dyDescent="0.3">
      <c r="B207" t="s">
        <v>5</v>
      </c>
      <c r="C207" t="s">
        <v>112</v>
      </c>
      <c r="D207" t="s">
        <v>232</v>
      </c>
      <c r="E207" t="s">
        <v>7</v>
      </c>
      <c r="F207" s="5" t="s">
        <v>239</v>
      </c>
      <c r="G207" t="s">
        <v>263</v>
      </c>
      <c r="H207" s="2">
        <v>45332</v>
      </c>
      <c r="I207" s="4">
        <f t="shared" ca="1" si="58"/>
        <v>6</v>
      </c>
      <c r="J207" s="4">
        <f t="shared" ca="1" si="59"/>
        <v>46</v>
      </c>
      <c r="L207" s="4" t="str">
        <f t="shared" si="60"/>
        <v>-</v>
      </c>
      <c r="M207" t="s">
        <v>228</v>
      </c>
      <c r="O207" s="2">
        <v>45364</v>
      </c>
      <c r="P207"/>
      <c r="Q207" t="s">
        <v>171</v>
      </c>
      <c r="R207" t="s">
        <v>202</v>
      </c>
    </row>
    <row r="208" spans="2:18" hidden="1" x14ac:dyDescent="0.3">
      <c r="B208" t="s">
        <v>5</v>
      </c>
      <c r="C208" t="s">
        <v>112</v>
      </c>
      <c r="D208" t="s">
        <v>233</v>
      </c>
      <c r="E208" t="s">
        <v>7</v>
      </c>
      <c r="F208" s="5" t="s">
        <v>238</v>
      </c>
      <c r="G208" t="s">
        <v>263</v>
      </c>
      <c r="H208" s="2">
        <v>45332</v>
      </c>
      <c r="I208" s="4">
        <f t="shared" ca="1" si="58"/>
        <v>6</v>
      </c>
      <c r="J208" s="4">
        <f t="shared" ca="1" si="59"/>
        <v>46</v>
      </c>
      <c r="L208" s="4" t="str">
        <f t="shared" si="60"/>
        <v>-</v>
      </c>
      <c r="M208" t="s">
        <v>228</v>
      </c>
      <c r="O208" s="2">
        <v>45364</v>
      </c>
      <c r="P208"/>
      <c r="Q208" t="s">
        <v>171</v>
      </c>
      <c r="R208" t="s">
        <v>202</v>
      </c>
    </row>
    <row r="209" spans="2:18" hidden="1" x14ac:dyDescent="0.3">
      <c r="B209" t="s">
        <v>5</v>
      </c>
      <c r="C209" t="s">
        <v>112</v>
      </c>
      <c r="D209" t="s">
        <v>234</v>
      </c>
      <c r="E209" t="s">
        <v>7</v>
      </c>
      <c r="F209" s="5" t="s">
        <v>238</v>
      </c>
      <c r="G209" t="s">
        <v>263</v>
      </c>
      <c r="H209" s="2">
        <v>45332</v>
      </c>
      <c r="I209" s="4">
        <f t="shared" ca="1" si="58"/>
        <v>6</v>
      </c>
      <c r="J209" s="4">
        <f t="shared" ca="1" si="59"/>
        <v>46</v>
      </c>
      <c r="L209" s="4" t="str">
        <f t="shared" si="60"/>
        <v>-</v>
      </c>
      <c r="M209" t="s">
        <v>228</v>
      </c>
      <c r="O209" s="2">
        <v>45364</v>
      </c>
      <c r="P209"/>
      <c r="Q209" t="s">
        <v>171</v>
      </c>
      <c r="R209" t="s">
        <v>202</v>
      </c>
    </row>
    <row r="210" spans="2:18" hidden="1" x14ac:dyDescent="0.3">
      <c r="B210" t="s">
        <v>5</v>
      </c>
      <c r="C210" t="s">
        <v>112</v>
      </c>
      <c r="D210" t="s">
        <v>268</v>
      </c>
      <c r="E210" t="s">
        <v>15</v>
      </c>
      <c r="G210" t="s">
        <v>263</v>
      </c>
      <c r="H210" s="2">
        <v>45337</v>
      </c>
      <c r="I210" s="4">
        <f t="shared" ca="1" si="58"/>
        <v>5</v>
      </c>
      <c r="J210" s="4">
        <f t="shared" ca="1" si="59"/>
        <v>41</v>
      </c>
      <c r="K210" s="2">
        <v>45363</v>
      </c>
      <c r="L210" s="4">
        <f t="shared" si="60"/>
        <v>26</v>
      </c>
      <c r="M210" t="s">
        <v>260</v>
      </c>
      <c r="P210"/>
      <c r="R210" t="s">
        <v>202</v>
      </c>
    </row>
    <row r="211" spans="2:18" hidden="1" x14ac:dyDescent="0.3">
      <c r="B211" t="s">
        <v>5</v>
      </c>
      <c r="C211" t="s">
        <v>112</v>
      </c>
      <c r="D211" t="s">
        <v>269</v>
      </c>
      <c r="E211" t="s">
        <v>15</v>
      </c>
      <c r="G211" t="s">
        <v>263</v>
      </c>
      <c r="H211" s="2">
        <v>45337</v>
      </c>
      <c r="I211" s="4">
        <f t="shared" ca="1" si="58"/>
        <v>5</v>
      </c>
      <c r="J211" s="4">
        <f t="shared" ca="1" si="59"/>
        <v>41</v>
      </c>
      <c r="K211" s="2">
        <v>45363</v>
      </c>
      <c r="L211" s="4">
        <f t="shared" si="60"/>
        <v>26</v>
      </c>
      <c r="M211" t="s">
        <v>260</v>
      </c>
      <c r="P211"/>
      <c r="R211" t="s">
        <v>202</v>
      </c>
    </row>
    <row r="212" spans="2:18" hidden="1" x14ac:dyDescent="0.3">
      <c r="B212" t="s">
        <v>5</v>
      </c>
      <c r="C212" t="s">
        <v>112</v>
      </c>
      <c r="D212" t="s">
        <v>270</v>
      </c>
      <c r="E212" t="s">
        <v>15</v>
      </c>
      <c r="G212" t="s">
        <v>263</v>
      </c>
      <c r="H212" s="2">
        <v>45337</v>
      </c>
      <c r="I212" s="4">
        <f t="shared" ca="1" si="58"/>
        <v>5</v>
      </c>
      <c r="J212" s="4">
        <f t="shared" ca="1" si="59"/>
        <v>41</v>
      </c>
      <c r="K212" s="2">
        <v>45363</v>
      </c>
      <c r="L212" s="4">
        <f t="shared" si="60"/>
        <v>26</v>
      </c>
      <c r="M212" t="s">
        <v>260</v>
      </c>
      <c r="P212"/>
      <c r="R212" t="s">
        <v>202</v>
      </c>
    </row>
    <row r="213" spans="2:18" hidden="1" x14ac:dyDescent="0.3">
      <c r="B213" t="s">
        <v>5</v>
      </c>
      <c r="C213" t="s">
        <v>112</v>
      </c>
      <c r="D213" t="s">
        <v>271</v>
      </c>
      <c r="E213" t="s">
        <v>15</v>
      </c>
      <c r="G213" t="s">
        <v>263</v>
      </c>
      <c r="H213" s="2">
        <v>45337</v>
      </c>
      <c r="I213" s="4">
        <f t="shared" ca="1" si="58"/>
        <v>5</v>
      </c>
      <c r="J213" s="4">
        <f t="shared" ca="1" si="59"/>
        <v>41</v>
      </c>
      <c r="K213" s="2">
        <v>45363</v>
      </c>
      <c r="L213" s="4">
        <f t="shared" si="60"/>
        <v>26</v>
      </c>
      <c r="M213" t="s">
        <v>260</v>
      </c>
      <c r="P213"/>
      <c r="R213" t="s">
        <v>202</v>
      </c>
    </row>
    <row r="214" spans="2:18" hidden="1" x14ac:dyDescent="0.3">
      <c r="B214" t="s">
        <v>5</v>
      </c>
      <c r="C214" t="s">
        <v>112</v>
      </c>
      <c r="D214" t="s">
        <v>272</v>
      </c>
      <c r="E214" t="s">
        <v>15</v>
      </c>
      <c r="G214" t="s">
        <v>263</v>
      </c>
      <c r="H214" s="2">
        <v>45337</v>
      </c>
      <c r="I214" s="4">
        <f t="shared" ca="1" si="58"/>
        <v>5</v>
      </c>
      <c r="J214" s="4">
        <f t="shared" ca="1" si="59"/>
        <v>41</v>
      </c>
      <c r="K214" s="2">
        <v>45363</v>
      </c>
      <c r="L214" s="4">
        <f t="shared" si="60"/>
        <v>26</v>
      </c>
      <c r="M214" t="s">
        <v>260</v>
      </c>
      <c r="P214"/>
      <c r="R214" t="s">
        <v>202</v>
      </c>
    </row>
    <row r="215" spans="2:18" hidden="1" x14ac:dyDescent="0.3">
      <c r="B215" t="s">
        <v>5</v>
      </c>
      <c r="C215" t="s">
        <v>112</v>
      </c>
      <c r="D215" t="s">
        <v>268</v>
      </c>
      <c r="E215" t="s">
        <v>15</v>
      </c>
      <c r="G215" t="s">
        <v>264</v>
      </c>
      <c r="H215" s="2">
        <v>45337</v>
      </c>
      <c r="I215" s="4">
        <f t="shared" ca="1" si="58"/>
        <v>5</v>
      </c>
      <c r="J215" s="4">
        <f t="shared" ca="1" si="59"/>
        <v>41</v>
      </c>
      <c r="K215" s="2">
        <v>45363</v>
      </c>
      <c r="L215" s="4">
        <f t="shared" si="60"/>
        <v>26</v>
      </c>
      <c r="M215" t="s">
        <v>259</v>
      </c>
      <c r="P215"/>
      <c r="R215" t="s">
        <v>202</v>
      </c>
    </row>
    <row r="216" spans="2:18" hidden="1" x14ac:dyDescent="0.3">
      <c r="B216" t="s">
        <v>5</v>
      </c>
      <c r="C216" t="s">
        <v>112</v>
      </c>
      <c r="D216" t="s">
        <v>270</v>
      </c>
      <c r="E216" t="s">
        <v>15</v>
      </c>
      <c r="G216" t="s">
        <v>264</v>
      </c>
      <c r="H216" s="2">
        <v>45337</v>
      </c>
      <c r="I216" s="4">
        <f t="shared" ca="1" si="58"/>
        <v>5</v>
      </c>
      <c r="J216" s="4">
        <f t="shared" ca="1" si="59"/>
        <v>41</v>
      </c>
      <c r="K216" s="2">
        <v>45363</v>
      </c>
      <c r="L216" s="4">
        <f t="shared" si="60"/>
        <v>26</v>
      </c>
      <c r="M216" t="s">
        <v>259</v>
      </c>
      <c r="P216"/>
      <c r="R216" t="s">
        <v>202</v>
      </c>
    </row>
    <row r="217" spans="2:18" hidden="1" x14ac:dyDescent="0.3">
      <c r="B217" t="s">
        <v>5</v>
      </c>
      <c r="C217" t="s">
        <v>127</v>
      </c>
      <c r="E217" t="s">
        <v>198</v>
      </c>
      <c r="G217" t="s">
        <v>288</v>
      </c>
      <c r="H217" s="2">
        <v>45343</v>
      </c>
      <c r="I217" s="4">
        <f t="shared" ref="I217:I227" ca="1" si="61">IF(QUOTIENT(_xlfn.DAYS(TODAY(),H217), 7)&lt;1000, QUOTIENT(_xlfn.DAYS(TODAY(),H217), 7), "-")</f>
        <v>5</v>
      </c>
      <c r="J217" s="4">
        <f t="shared" ref="J217:J227" ca="1" si="62">IF(_xlfn.DAYS(TODAY(),H217)&lt;10000, _xlfn.DAYS(TODAY(),H217), "-")</f>
        <v>35</v>
      </c>
      <c r="L217" s="4" t="str">
        <f t="shared" ref="L217:L227" si="63">IF(_xlfn.DAYS(K217,H217)&gt;0, _xlfn.DAYS(K217,H217), "-")</f>
        <v>-</v>
      </c>
      <c r="M217" t="s">
        <v>283</v>
      </c>
      <c r="P217"/>
      <c r="Q217" t="s">
        <v>236</v>
      </c>
      <c r="R217" t="s">
        <v>286</v>
      </c>
    </row>
    <row r="218" spans="2:18" hidden="1" x14ac:dyDescent="0.3">
      <c r="B218" t="s">
        <v>5</v>
      </c>
      <c r="C218" t="s">
        <v>127</v>
      </c>
      <c r="E218" t="s">
        <v>16</v>
      </c>
      <c r="G218" t="s">
        <v>288</v>
      </c>
      <c r="H218" s="2">
        <v>45343</v>
      </c>
      <c r="I218" s="4">
        <f t="shared" ref="I218" ca="1" si="64">IF(QUOTIENT(_xlfn.DAYS(TODAY(),H218), 7)&lt;1000, QUOTIENT(_xlfn.DAYS(TODAY(),H218), 7), "-")</f>
        <v>5</v>
      </c>
      <c r="J218" s="4">
        <f t="shared" ref="J218" ca="1" si="65">IF(_xlfn.DAYS(TODAY(),H218)&lt;10000, _xlfn.DAYS(TODAY(),H218), "-")</f>
        <v>35</v>
      </c>
      <c r="L218" s="4" t="str">
        <f t="shared" ref="L218" si="66">IF(_xlfn.DAYS(K218,H218)&gt;0, _xlfn.DAYS(K218,H218), "-")</f>
        <v>-</v>
      </c>
      <c r="M218" t="s">
        <v>283</v>
      </c>
      <c r="P218"/>
      <c r="Q218" t="s">
        <v>236</v>
      </c>
      <c r="R218" t="s">
        <v>286</v>
      </c>
    </row>
    <row r="219" spans="2:18" hidden="1" x14ac:dyDescent="0.3">
      <c r="B219" t="s">
        <v>5</v>
      </c>
      <c r="C219" t="s">
        <v>127</v>
      </c>
      <c r="E219" t="s">
        <v>16</v>
      </c>
      <c r="G219" t="s">
        <v>288</v>
      </c>
      <c r="H219" s="2">
        <v>45343</v>
      </c>
      <c r="I219" s="4">
        <f t="shared" ca="1" si="61"/>
        <v>5</v>
      </c>
      <c r="J219" s="4">
        <f t="shared" ca="1" si="62"/>
        <v>35</v>
      </c>
      <c r="L219" s="4" t="str">
        <f t="shared" si="63"/>
        <v>-</v>
      </c>
      <c r="M219" t="s">
        <v>283</v>
      </c>
      <c r="P219"/>
      <c r="Q219" t="s">
        <v>236</v>
      </c>
      <c r="R219" t="s">
        <v>287</v>
      </c>
    </row>
    <row r="220" spans="2:18" hidden="1" x14ac:dyDescent="0.3">
      <c r="B220" t="s">
        <v>5</v>
      </c>
      <c r="C220" t="s">
        <v>127</v>
      </c>
      <c r="E220" t="s">
        <v>16</v>
      </c>
      <c r="G220" t="s">
        <v>289</v>
      </c>
      <c r="H220" s="2">
        <v>45343</v>
      </c>
      <c r="I220" s="4">
        <f t="shared" ca="1" si="61"/>
        <v>5</v>
      </c>
      <c r="J220" s="4">
        <f t="shared" ca="1" si="62"/>
        <v>35</v>
      </c>
      <c r="L220" s="4" t="str">
        <f t="shared" si="63"/>
        <v>-</v>
      </c>
      <c r="M220" t="s">
        <v>284</v>
      </c>
      <c r="P220"/>
      <c r="Q220" t="s">
        <v>236</v>
      </c>
      <c r="R220" t="s">
        <v>287</v>
      </c>
    </row>
    <row r="221" spans="2:18" hidden="1" x14ac:dyDescent="0.3">
      <c r="B221" t="s">
        <v>5</v>
      </c>
      <c r="C221" t="s">
        <v>127</v>
      </c>
      <c r="E221" s="2" t="s">
        <v>16</v>
      </c>
      <c r="G221" t="s">
        <v>289</v>
      </c>
      <c r="H221" s="2">
        <v>45343</v>
      </c>
      <c r="I221" s="4">
        <f t="shared" ca="1" si="61"/>
        <v>5</v>
      </c>
      <c r="J221" s="4">
        <f t="shared" ca="1" si="62"/>
        <v>35</v>
      </c>
      <c r="L221" s="4" t="str">
        <f t="shared" si="63"/>
        <v>-</v>
      </c>
      <c r="M221" t="s">
        <v>284</v>
      </c>
      <c r="P221"/>
      <c r="Q221" t="s">
        <v>236</v>
      </c>
      <c r="R221" t="s">
        <v>287</v>
      </c>
    </row>
    <row r="222" spans="2:18" hidden="1" x14ac:dyDescent="0.3">
      <c r="B222" t="s">
        <v>5</v>
      </c>
      <c r="C222" t="s">
        <v>127</v>
      </c>
      <c r="E222" t="s">
        <v>16</v>
      </c>
      <c r="G222" t="s">
        <v>289</v>
      </c>
      <c r="H222" s="2">
        <v>45343</v>
      </c>
      <c r="I222" s="4">
        <f t="shared" ca="1" si="61"/>
        <v>5</v>
      </c>
      <c r="J222" s="4">
        <f t="shared" ca="1" si="62"/>
        <v>35</v>
      </c>
      <c r="L222" s="4" t="str">
        <f t="shared" si="63"/>
        <v>-</v>
      </c>
      <c r="M222" t="s">
        <v>284</v>
      </c>
      <c r="P222"/>
      <c r="Q222" t="s">
        <v>236</v>
      </c>
      <c r="R222" t="s">
        <v>287</v>
      </c>
    </row>
    <row r="223" spans="2:18" hidden="1" x14ac:dyDescent="0.3">
      <c r="B223" t="s">
        <v>5</v>
      </c>
      <c r="C223" t="s">
        <v>127</v>
      </c>
      <c r="E223" t="s">
        <v>16</v>
      </c>
      <c r="G223" t="s">
        <v>289</v>
      </c>
      <c r="H223" s="2">
        <v>45343</v>
      </c>
      <c r="I223" s="4">
        <f t="shared" ca="1" si="61"/>
        <v>5</v>
      </c>
      <c r="J223" s="4">
        <f t="shared" ca="1" si="62"/>
        <v>35</v>
      </c>
      <c r="L223" s="4" t="str">
        <f t="shared" si="63"/>
        <v>-</v>
      </c>
      <c r="M223" t="s">
        <v>284</v>
      </c>
      <c r="P223"/>
      <c r="Q223" t="s">
        <v>236</v>
      </c>
      <c r="R223" t="s">
        <v>287</v>
      </c>
    </row>
    <row r="224" spans="2:18" hidden="1" x14ac:dyDescent="0.3">
      <c r="B224" t="s">
        <v>5</v>
      </c>
      <c r="C224" t="s">
        <v>111</v>
      </c>
      <c r="E224" t="s">
        <v>16</v>
      </c>
      <c r="G224" t="s">
        <v>263</v>
      </c>
      <c r="H224" s="2">
        <v>45337</v>
      </c>
      <c r="I224" s="4">
        <f t="shared" ca="1" si="61"/>
        <v>5</v>
      </c>
      <c r="J224" s="4">
        <f t="shared" ca="1" si="62"/>
        <v>41</v>
      </c>
      <c r="K224" s="2">
        <v>45363</v>
      </c>
      <c r="L224" s="4">
        <f t="shared" si="63"/>
        <v>26</v>
      </c>
      <c r="M224" s="4" t="s">
        <v>262</v>
      </c>
      <c r="P224"/>
      <c r="Q224" t="s">
        <v>261</v>
      </c>
      <c r="R224" t="s">
        <v>203</v>
      </c>
    </row>
    <row r="225" spans="2:18" hidden="1" x14ac:dyDescent="0.3">
      <c r="B225" t="s">
        <v>5</v>
      </c>
      <c r="C225" t="s">
        <v>111</v>
      </c>
      <c r="E225" t="s">
        <v>16</v>
      </c>
      <c r="G225" t="s">
        <v>263</v>
      </c>
      <c r="H225" s="2">
        <v>45337</v>
      </c>
      <c r="I225" s="4">
        <f t="shared" ca="1" si="61"/>
        <v>5</v>
      </c>
      <c r="J225" s="4">
        <f t="shared" ca="1" si="62"/>
        <v>41</v>
      </c>
      <c r="K225" s="2">
        <v>45363</v>
      </c>
      <c r="L225" s="4">
        <f t="shared" si="63"/>
        <v>26</v>
      </c>
      <c r="M225" s="4" t="s">
        <v>262</v>
      </c>
      <c r="P225"/>
      <c r="Q225" t="s">
        <v>261</v>
      </c>
      <c r="R225" t="s">
        <v>203</v>
      </c>
    </row>
    <row r="226" spans="2:18" hidden="1" x14ac:dyDescent="0.3">
      <c r="B226" t="s">
        <v>5</v>
      </c>
      <c r="C226" t="s">
        <v>111</v>
      </c>
      <c r="E226" t="s">
        <v>16</v>
      </c>
      <c r="G226" t="s">
        <v>263</v>
      </c>
      <c r="H226" s="2">
        <v>45337</v>
      </c>
      <c r="I226" s="4">
        <f t="shared" ca="1" si="61"/>
        <v>5</v>
      </c>
      <c r="J226" s="4">
        <f t="shared" ca="1" si="62"/>
        <v>41</v>
      </c>
      <c r="K226" s="2">
        <v>45363</v>
      </c>
      <c r="L226" s="4">
        <f t="shared" si="63"/>
        <v>26</v>
      </c>
      <c r="M226" s="4" t="s">
        <v>262</v>
      </c>
      <c r="P226"/>
      <c r="Q226" t="s">
        <v>261</v>
      </c>
      <c r="R226" t="s">
        <v>203</v>
      </c>
    </row>
    <row r="227" spans="2:18" hidden="1" x14ac:dyDescent="0.3">
      <c r="B227" t="s">
        <v>5</v>
      </c>
      <c r="C227" t="s">
        <v>127</v>
      </c>
      <c r="E227" t="s">
        <v>16</v>
      </c>
      <c r="H227" s="2">
        <v>45349</v>
      </c>
      <c r="I227" s="4">
        <f t="shared" ca="1" si="61"/>
        <v>4</v>
      </c>
      <c r="J227" s="4">
        <f t="shared" ca="1" si="62"/>
        <v>29</v>
      </c>
      <c r="L227" s="4" t="str">
        <f t="shared" si="63"/>
        <v>-</v>
      </c>
      <c r="M227" t="s">
        <v>200</v>
      </c>
      <c r="P227"/>
      <c r="R227" t="s">
        <v>201</v>
      </c>
    </row>
    <row r="228" spans="2:18" hidden="1" x14ac:dyDescent="0.3">
      <c r="B228" t="s">
        <v>5</v>
      </c>
      <c r="C228" t="s">
        <v>127</v>
      </c>
      <c r="E228" t="s">
        <v>16</v>
      </c>
      <c r="H228" s="2">
        <v>45349</v>
      </c>
      <c r="I228" s="4">
        <f t="shared" ref="I228:I235" ca="1" si="67">IF(QUOTIENT(_xlfn.DAYS(TODAY(),H228), 7)&lt;1000, QUOTIENT(_xlfn.DAYS(TODAY(),H228), 7), "-")</f>
        <v>4</v>
      </c>
      <c r="J228" s="4">
        <f t="shared" ref="J228:J235" ca="1" si="68">IF(_xlfn.DAYS(TODAY(),H228)&lt;10000, _xlfn.DAYS(TODAY(),H228), "-")</f>
        <v>29</v>
      </c>
      <c r="L228" s="4" t="str">
        <f t="shared" ref="L228:L235" si="69">IF(_xlfn.DAYS(K228,H228)&gt;0, _xlfn.DAYS(K228,H228), "-")</f>
        <v>-</v>
      </c>
      <c r="M228" t="s">
        <v>200</v>
      </c>
      <c r="P228"/>
      <c r="R228" t="s">
        <v>201</v>
      </c>
    </row>
    <row r="229" spans="2:18" hidden="1" x14ac:dyDescent="0.3">
      <c r="B229" t="s">
        <v>5</v>
      </c>
      <c r="C229" t="s">
        <v>127</v>
      </c>
      <c r="E229" t="s">
        <v>16</v>
      </c>
      <c r="H229" s="2">
        <v>45349</v>
      </c>
      <c r="I229" s="4">
        <f t="shared" ca="1" si="67"/>
        <v>4</v>
      </c>
      <c r="J229" s="4">
        <f t="shared" ca="1" si="68"/>
        <v>29</v>
      </c>
      <c r="L229" s="4" t="str">
        <f t="shared" si="69"/>
        <v>-</v>
      </c>
      <c r="M229" t="s">
        <v>200</v>
      </c>
      <c r="P229"/>
      <c r="R229" t="s">
        <v>201</v>
      </c>
    </row>
    <row r="230" spans="2:18" hidden="1" x14ac:dyDescent="0.3">
      <c r="B230" t="s">
        <v>5</v>
      </c>
      <c r="C230" t="s">
        <v>127</v>
      </c>
      <c r="E230" t="s">
        <v>16</v>
      </c>
      <c r="H230" s="2">
        <v>45349</v>
      </c>
      <c r="I230" s="4">
        <f t="shared" ca="1" si="67"/>
        <v>4</v>
      </c>
      <c r="J230" s="4">
        <f t="shared" ca="1" si="68"/>
        <v>29</v>
      </c>
      <c r="L230" s="4" t="str">
        <f t="shared" si="69"/>
        <v>-</v>
      </c>
      <c r="M230" t="s">
        <v>200</v>
      </c>
      <c r="P230"/>
      <c r="R230" t="s">
        <v>201</v>
      </c>
    </row>
    <row r="231" spans="2:18" x14ac:dyDescent="0.3">
      <c r="B231" t="s">
        <v>34</v>
      </c>
      <c r="C231" t="s">
        <v>110</v>
      </c>
      <c r="E231" t="s">
        <v>16</v>
      </c>
      <c r="F231" s="5" t="s">
        <v>134</v>
      </c>
      <c r="G231" t="s">
        <v>247</v>
      </c>
      <c r="H231" s="2">
        <v>45324</v>
      </c>
      <c r="I231" s="4">
        <f t="shared" ca="1" si="67"/>
        <v>7</v>
      </c>
      <c r="J231" s="4">
        <f t="shared" ca="1" si="68"/>
        <v>54</v>
      </c>
      <c r="K231" s="2">
        <v>45357</v>
      </c>
      <c r="L231" s="4">
        <f t="shared" si="69"/>
        <v>33</v>
      </c>
      <c r="M231" t="s">
        <v>245</v>
      </c>
    </row>
    <row r="232" spans="2:18" x14ac:dyDescent="0.3">
      <c r="B232" t="s">
        <v>34</v>
      </c>
      <c r="C232" t="s">
        <v>110</v>
      </c>
      <c r="E232" t="s">
        <v>16</v>
      </c>
      <c r="F232" s="5" t="s">
        <v>134</v>
      </c>
      <c r="G232" t="s">
        <v>247</v>
      </c>
      <c r="H232" s="2">
        <v>45324</v>
      </c>
      <c r="I232" s="4">
        <f t="shared" ca="1" si="67"/>
        <v>7</v>
      </c>
      <c r="J232" s="4">
        <f t="shared" ca="1" si="68"/>
        <v>54</v>
      </c>
      <c r="K232" s="2">
        <v>45357</v>
      </c>
      <c r="L232" s="4">
        <f t="shared" si="69"/>
        <v>33</v>
      </c>
      <c r="M232" t="s">
        <v>245</v>
      </c>
    </row>
    <row r="233" spans="2:18" x14ac:dyDescent="0.3">
      <c r="B233" t="s">
        <v>34</v>
      </c>
      <c r="C233" t="s">
        <v>110</v>
      </c>
      <c r="E233" t="s">
        <v>16</v>
      </c>
      <c r="F233" s="5" t="s">
        <v>134</v>
      </c>
      <c r="G233" t="s">
        <v>247</v>
      </c>
      <c r="H233" s="2">
        <v>45324</v>
      </c>
      <c r="I233" s="4">
        <f t="shared" ca="1" si="67"/>
        <v>7</v>
      </c>
      <c r="J233" s="4">
        <f t="shared" ca="1" si="68"/>
        <v>54</v>
      </c>
      <c r="K233" s="2">
        <v>45357</v>
      </c>
      <c r="L233" s="4">
        <f t="shared" si="69"/>
        <v>33</v>
      </c>
      <c r="M233" t="s">
        <v>245</v>
      </c>
    </row>
    <row r="234" spans="2:18" x14ac:dyDescent="0.3">
      <c r="B234" t="s">
        <v>34</v>
      </c>
      <c r="C234" t="s">
        <v>110</v>
      </c>
      <c r="E234" t="s">
        <v>16</v>
      </c>
      <c r="F234" s="5" t="s">
        <v>134</v>
      </c>
      <c r="G234" t="s">
        <v>247</v>
      </c>
      <c r="H234" s="2">
        <v>45324</v>
      </c>
      <c r="I234" s="4">
        <f t="shared" ca="1" si="67"/>
        <v>7</v>
      </c>
      <c r="J234" s="4">
        <f t="shared" ca="1" si="68"/>
        <v>54</v>
      </c>
      <c r="K234" s="2">
        <v>45357</v>
      </c>
      <c r="L234" s="4">
        <f t="shared" si="69"/>
        <v>33</v>
      </c>
      <c r="M234" t="s">
        <v>245</v>
      </c>
    </row>
    <row r="235" spans="2:18" x14ac:dyDescent="0.3">
      <c r="B235" t="s">
        <v>34</v>
      </c>
      <c r="C235" t="s">
        <v>110</v>
      </c>
      <c r="E235" t="s">
        <v>16</v>
      </c>
      <c r="F235" s="5" t="s">
        <v>134</v>
      </c>
      <c r="G235" t="s">
        <v>247</v>
      </c>
      <c r="H235" s="2">
        <v>45324</v>
      </c>
      <c r="I235" s="4">
        <f t="shared" ca="1" si="67"/>
        <v>7</v>
      </c>
      <c r="J235" s="4">
        <f t="shared" ca="1" si="68"/>
        <v>54</v>
      </c>
      <c r="K235" s="2">
        <v>45357</v>
      </c>
      <c r="L235" s="4">
        <f t="shared" si="69"/>
        <v>33</v>
      </c>
      <c r="M235" t="s">
        <v>245</v>
      </c>
    </row>
    <row r="236" spans="2:18" hidden="1" x14ac:dyDescent="0.3">
      <c r="B236" t="s">
        <v>34</v>
      </c>
      <c r="C236" t="s">
        <v>110</v>
      </c>
      <c r="E236" t="s">
        <v>16</v>
      </c>
      <c r="H236" s="2">
        <v>45324</v>
      </c>
      <c r="I236" s="4">
        <v>4</v>
      </c>
      <c r="J236" s="4">
        <v>34</v>
      </c>
      <c r="K236" s="2">
        <v>45357</v>
      </c>
      <c r="M236" t="s">
        <v>246</v>
      </c>
      <c r="O236" s="2">
        <v>45357</v>
      </c>
      <c r="P236"/>
    </row>
    <row r="237" spans="2:18" x14ac:dyDescent="0.3">
      <c r="B237" t="s">
        <v>34</v>
      </c>
      <c r="C237" t="s">
        <v>110</v>
      </c>
      <c r="E237" t="s">
        <v>16</v>
      </c>
      <c r="G237" t="s">
        <v>247</v>
      </c>
      <c r="H237" s="2">
        <v>45350</v>
      </c>
      <c r="I237" s="4">
        <f t="shared" ref="I237" ca="1" si="70">IF(QUOTIENT(_xlfn.DAYS(TODAY(),H237), 7)&lt;1000, QUOTIENT(_xlfn.DAYS(TODAY(),H237), 7), "-")</f>
        <v>4</v>
      </c>
      <c r="J237" s="4">
        <f t="shared" ref="J237" ca="1" si="71">IF(_xlfn.DAYS(TODAY(),H237)&lt;10000, _xlfn.DAYS(TODAY(),H237), "-")</f>
        <v>28</v>
      </c>
      <c r="L237" s="4" t="str">
        <f t="shared" ref="L237" si="72">IF(_xlfn.DAYS(K237,H237)&gt;0, _xlfn.DAYS(K237,H237), "-")</f>
        <v>-</v>
      </c>
      <c r="M237" t="s">
        <v>248</v>
      </c>
      <c r="Q237" t="s">
        <v>296</v>
      </c>
    </row>
    <row r="238" spans="2:18" x14ac:dyDescent="0.3">
      <c r="B238" t="s">
        <v>34</v>
      </c>
      <c r="C238" t="s">
        <v>110</v>
      </c>
      <c r="E238" t="s">
        <v>16</v>
      </c>
      <c r="G238" t="s">
        <v>247</v>
      </c>
      <c r="H238" s="2">
        <v>45350</v>
      </c>
      <c r="I238" s="4">
        <f t="shared" ref="I238" ca="1" si="73">IF(QUOTIENT(_xlfn.DAYS(TODAY(),H238), 7)&lt;1000, QUOTIENT(_xlfn.DAYS(TODAY(),H238), 7), "-")</f>
        <v>4</v>
      </c>
      <c r="J238" s="4">
        <f t="shared" ref="J238" ca="1" si="74">IF(_xlfn.DAYS(TODAY(),H238)&lt;10000, _xlfn.DAYS(TODAY(),H238), "-")</f>
        <v>28</v>
      </c>
      <c r="L238" s="4" t="str">
        <f t="shared" ref="L238" si="75">IF(_xlfn.DAYS(K238,H238)&gt;0, _xlfn.DAYS(K238,H238), "-")</f>
        <v>-</v>
      </c>
      <c r="M238" t="s">
        <v>248</v>
      </c>
      <c r="Q238" t="s">
        <v>296</v>
      </c>
    </row>
    <row r="239" spans="2:18" x14ac:dyDescent="0.3">
      <c r="B239" t="s">
        <v>34</v>
      </c>
      <c r="C239" t="s">
        <v>110</v>
      </c>
      <c r="E239" t="s">
        <v>16</v>
      </c>
      <c r="G239" t="s">
        <v>247</v>
      </c>
      <c r="H239" s="2">
        <v>45350</v>
      </c>
      <c r="I239" s="4">
        <f t="shared" ref="I239:I241" ca="1" si="76">IF(QUOTIENT(_xlfn.DAYS(TODAY(),H239), 7)&lt;1000, QUOTIENT(_xlfn.DAYS(TODAY(),H239), 7), "-")</f>
        <v>4</v>
      </c>
      <c r="J239" s="4">
        <f t="shared" ref="J239:J241" ca="1" si="77">IF(_xlfn.DAYS(TODAY(),H239)&lt;10000, _xlfn.DAYS(TODAY(),H239), "-")</f>
        <v>28</v>
      </c>
      <c r="L239" s="4" t="str">
        <f t="shared" ref="L239:L255" si="78">IF(_xlfn.DAYS(K239,H239)&gt;0, _xlfn.DAYS(K239,H239), "-")</f>
        <v>-</v>
      </c>
      <c r="M239" t="s">
        <v>248</v>
      </c>
      <c r="Q239" t="s">
        <v>296</v>
      </c>
    </row>
    <row r="240" spans="2:18" x14ac:dyDescent="0.3">
      <c r="B240" t="s">
        <v>34</v>
      </c>
      <c r="C240" t="s">
        <v>110</v>
      </c>
      <c r="E240" t="s">
        <v>16</v>
      </c>
      <c r="G240" t="s">
        <v>247</v>
      </c>
      <c r="H240" s="2">
        <v>45350</v>
      </c>
      <c r="I240" s="4">
        <f t="shared" ca="1" si="76"/>
        <v>4</v>
      </c>
      <c r="J240" s="4">
        <f t="shared" ca="1" si="77"/>
        <v>28</v>
      </c>
      <c r="L240" s="4" t="str">
        <f t="shared" si="78"/>
        <v>-</v>
      </c>
      <c r="M240" t="s">
        <v>248</v>
      </c>
      <c r="Q240" t="s">
        <v>296</v>
      </c>
    </row>
    <row r="241" spans="2:18" hidden="1" x14ac:dyDescent="0.3">
      <c r="B241" t="s">
        <v>34</v>
      </c>
      <c r="C241" t="s">
        <v>249</v>
      </c>
      <c r="D241" t="s">
        <v>274</v>
      </c>
      <c r="G241" t="s">
        <v>247</v>
      </c>
      <c r="H241" s="2">
        <v>45313</v>
      </c>
      <c r="I241" s="4">
        <f t="shared" ca="1" si="76"/>
        <v>9</v>
      </c>
      <c r="J241" s="4">
        <f t="shared" ca="1" si="77"/>
        <v>65</v>
      </c>
      <c r="K241" s="2">
        <v>45350</v>
      </c>
      <c r="L241" s="4">
        <f t="shared" si="78"/>
        <v>37</v>
      </c>
      <c r="M241" t="s">
        <v>254</v>
      </c>
      <c r="N241" s="2">
        <v>45353</v>
      </c>
      <c r="P241" s="5" t="s">
        <v>250</v>
      </c>
      <c r="R241" t="s">
        <v>251</v>
      </c>
    </row>
    <row r="242" spans="2:18" hidden="1" x14ac:dyDescent="0.3">
      <c r="B242" t="s">
        <v>34</v>
      </c>
      <c r="C242" t="s">
        <v>249</v>
      </c>
      <c r="D242" t="s">
        <v>275</v>
      </c>
      <c r="G242" t="s">
        <v>247</v>
      </c>
      <c r="H242" s="2">
        <v>45313</v>
      </c>
      <c r="I242" s="4">
        <f t="shared" ref="I242:I255" ca="1" si="79">IF(QUOTIENT(_xlfn.DAYS(TODAY(),H242), 7)&lt;1000, QUOTIENT(_xlfn.DAYS(TODAY(),H242), 7), "-")</f>
        <v>9</v>
      </c>
      <c r="J242" s="4">
        <f t="shared" ref="J242:J255" ca="1" si="80">IF(_xlfn.DAYS(TODAY(),H242)&lt;10000, _xlfn.DAYS(TODAY(),H242), "-")</f>
        <v>65</v>
      </c>
      <c r="K242" s="2">
        <v>45350</v>
      </c>
      <c r="L242" s="4">
        <f t="shared" si="78"/>
        <v>37</v>
      </c>
      <c r="M242" t="s">
        <v>254</v>
      </c>
      <c r="N242" s="2">
        <v>45353</v>
      </c>
      <c r="P242" s="5" t="s">
        <v>250</v>
      </c>
      <c r="R242" t="s">
        <v>251</v>
      </c>
    </row>
    <row r="243" spans="2:18" hidden="1" x14ac:dyDescent="0.3">
      <c r="B243" t="s">
        <v>34</v>
      </c>
      <c r="C243" t="s">
        <v>249</v>
      </c>
      <c r="D243" t="s">
        <v>276</v>
      </c>
      <c r="G243" t="s">
        <v>247</v>
      </c>
      <c r="H243" s="2">
        <v>45313</v>
      </c>
      <c r="I243" s="4">
        <f t="shared" ca="1" si="79"/>
        <v>9</v>
      </c>
      <c r="J243" s="4">
        <f t="shared" ca="1" si="80"/>
        <v>65</v>
      </c>
      <c r="K243" s="2">
        <v>45350</v>
      </c>
      <c r="L243" s="4">
        <f t="shared" si="78"/>
        <v>37</v>
      </c>
      <c r="M243" t="s">
        <v>254</v>
      </c>
      <c r="N243" s="2">
        <v>45353</v>
      </c>
      <c r="P243" s="5" t="s">
        <v>250</v>
      </c>
      <c r="R243" t="s">
        <v>251</v>
      </c>
    </row>
    <row r="244" spans="2:18" hidden="1" x14ac:dyDescent="0.3">
      <c r="B244" t="s">
        <v>34</v>
      </c>
      <c r="C244" t="s">
        <v>249</v>
      </c>
      <c r="D244" t="s">
        <v>277</v>
      </c>
      <c r="G244" t="s">
        <v>247</v>
      </c>
      <c r="H244" s="2">
        <v>45313</v>
      </c>
      <c r="I244" s="4">
        <f t="shared" ca="1" si="79"/>
        <v>9</v>
      </c>
      <c r="J244" s="4">
        <f t="shared" ca="1" si="80"/>
        <v>65</v>
      </c>
      <c r="K244" s="2">
        <v>45350</v>
      </c>
      <c r="L244" s="4">
        <f t="shared" si="78"/>
        <v>37</v>
      </c>
      <c r="M244" t="s">
        <v>254</v>
      </c>
      <c r="N244" s="2">
        <v>45353</v>
      </c>
      <c r="P244" s="5" t="s">
        <v>250</v>
      </c>
      <c r="R244" t="s">
        <v>251</v>
      </c>
    </row>
    <row r="245" spans="2:18" hidden="1" x14ac:dyDescent="0.3">
      <c r="B245" t="s">
        <v>34</v>
      </c>
      <c r="C245" t="s">
        <v>249</v>
      </c>
      <c r="D245" t="s">
        <v>278</v>
      </c>
      <c r="G245" t="s">
        <v>247</v>
      </c>
      <c r="H245" s="2">
        <v>45313</v>
      </c>
      <c r="I245" s="4">
        <f t="shared" ca="1" si="79"/>
        <v>9</v>
      </c>
      <c r="J245" s="4">
        <f t="shared" ca="1" si="80"/>
        <v>65</v>
      </c>
      <c r="K245" s="2">
        <v>45350</v>
      </c>
      <c r="L245" s="4">
        <f t="shared" si="78"/>
        <v>37</v>
      </c>
      <c r="M245" t="s">
        <v>254</v>
      </c>
      <c r="N245" s="2">
        <v>45353</v>
      </c>
      <c r="P245" s="5" t="s">
        <v>250</v>
      </c>
      <c r="R245" t="s">
        <v>251</v>
      </c>
    </row>
    <row r="246" spans="2:18" hidden="1" x14ac:dyDescent="0.3">
      <c r="B246" t="s">
        <v>34</v>
      </c>
      <c r="C246" t="s">
        <v>249</v>
      </c>
      <c r="D246" t="s">
        <v>274</v>
      </c>
      <c r="G246" t="s">
        <v>247</v>
      </c>
      <c r="H246" s="2">
        <v>45313</v>
      </c>
      <c r="I246" s="4">
        <f t="shared" ca="1" si="79"/>
        <v>9</v>
      </c>
      <c r="J246" s="4">
        <f t="shared" ca="1" si="80"/>
        <v>65</v>
      </c>
      <c r="K246" s="2">
        <v>45350</v>
      </c>
      <c r="L246" s="4">
        <f t="shared" si="78"/>
        <v>37</v>
      </c>
      <c r="M246" t="s">
        <v>255</v>
      </c>
      <c r="N246" s="2">
        <v>45353</v>
      </c>
      <c r="P246" s="5" t="s">
        <v>250</v>
      </c>
      <c r="R246" t="s">
        <v>252</v>
      </c>
    </row>
    <row r="247" spans="2:18" hidden="1" x14ac:dyDescent="0.3">
      <c r="B247" t="s">
        <v>34</v>
      </c>
      <c r="C247" t="s">
        <v>249</v>
      </c>
      <c r="D247" t="s">
        <v>275</v>
      </c>
      <c r="G247" t="s">
        <v>247</v>
      </c>
      <c r="H247" s="2">
        <v>45313</v>
      </c>
      <c r="I247" s="4">
        <f t="shared" ca="1" si="79"/>
        <v>9</v>
      </c>
      <c r="J247" s="4">
        <f t="shared" ca="1" si="80"/>
        <v>65</v>
      </c>
      <c r="K247" s="2">
        <v>45350</v>
      </c>
      <c r="L247" s="4">
        <f t="shared" si="78"/>
        <v>37</v>
      </c>
      <c r="M247" t="s">
        <v>255</v>
      </c>
      <c r="N247" s="2">
        <v>45353</v>
      </c>
      <c r="P247" s="5" t="s">
        <v>250</v>
      </c>
      <c r="R247" t="s">
        <v>252</v>
      </c>
    </row>
    <row r="248" spans="2:18" hidden="1" x14ac:dyDescent="0.3">
      <c r="B248" t="s">
        <v>34</v>
      </c>
      <c r="C248" t="s">
        <v>249</v>
      </c>
      <c r="D248" t="s">
        <v>276</v>
      </c>
      <c r="G248" t="s">
        <v>247</v>
      </c>
      <c r="H248" s="2">
        <v>45313</v>
      </c>
      <c r="I248" s="4">
        <f t="shared" ca="1" si="79"/>
        <v>9</v>
      </c>
      <c r="J248" s="4">
        <f t="shared" ca="1" si="80"/>
        <v>65</v>
      </c>
      <c r="K248" s="2">
        <v>45350</v>
      </c>
      <c r="L248" s="4">
        <f t="shared" si="78"/>
        <v>37</v>
      </c>
      <c r="M248" t="s">
        <v>255</v>
      </c>
      <c r="N248" s="2">
        <v>45353</v>
      </c>
      <c r="P248" s="5" t="s">
        <v>250</v>
      </c>
      <c r="R248" t="s">
        <v>252</v>
      </c>
    </row>
    <row r="249" spans="2:18" hidden="1" x14ac:dyDescent="0.3">
      <c r="B249" t="s">
        <v>34</v>
      </c>
      <c r="C249" t="s">
        <v>249</v>
      </c>
      <c r="D249" t="s">
        <v>277</v>
      </c>
      <c r="G249" t="s">
        <v>247</v>
      </c>
      <c r="H249" s="2">
        <v>45313</v>
      </c>
      <c r="I249" s="4">
        <f t="shared" ca="1" si="79"/>
        <v>9</v>
      </c>
      <c r="J249" s="4">
        <f t="shared" ca="1" si="80"/>
        <v>65</v>
      </c>
      <c r="K249" s="2">
        <v>45350</v>
      </c>
      <c r="L249" s="4">
        <f t="shared" si="78"/>
        <v>37</v>
      </c>
      <c r="M249" t="s">
        <v>255</v>
      </c>
      <c r="N249" s="2">
        <v>45353</v>
      </c>
      <c r="P249" s="5" t="s">
        <v>250</v>
      </c>
      <c r="R249" t="s">
        <v>252</v>
      </c>
    </row>
    <row r="250" spans="2:18" hidden="1" x14ac:dyDescent="0.3">
      <c r="B250" t="s">
        <v>34</v>
      </c>
      <c r="C250" t="s">
        <v>249</v>
      </c>
      <c r="D250" t="s">
        <v>278</v>
      </c>
      <c r="G250" t="s">
        <v>247</v>
      </c>
      <c r="H250" s="2">
        <v>45313</v>
      </c>
      <c r="I250" s="4">
        <f t="shared" ca="1" si="79"/>
        <v>9</v>
      </c>
      <c r="J250" s="4">
        <f t="shared" ca="1" si="80"/>
        <v>65</v>
      </c>
      <c r="K250" s="2">
        <v>45350</v>
      </c>
      <c r="L250" s="4">
        <f t="shared" si="78"/>
        <v>37</v>
      </c>
      <c r="M250" t="s">
        <v>255</v>
      </c>
      <c r="N250" s="2">
        <v>45353</v>
      </c>
      <c r="P250" s="5" t="s">
        <v>250</v>
      </c>
      <c r="R250" t="s">
        <v>252</v>
      </c>
    </row>
    <row r="251" spans="2:18" hidden="1" x14ac:dyDescent="0.3">
      <c r="B251" t="s">
        <v>34</v>
      </c>
      <c r="C251" t="s">
        <v>249</v>
      </c>
      <c r="D251" t="s">
        <v>274</v>
      </c>
      <c r="G251" t="s">
        <v>247</v>
      </c>
      <c r="H251" s="2">
        <v>45313</v>
      </c>
      <c r="I251" s="4">
        <f t="shared" ca="1" si="79"/>
        <v>9</v>
      </c>
      <c r="J251" s="4">
        <f t="shared" ca="1" si="80"/>
        <v>65</v>
      </c>
      <c r="K251" s="2">
        <v>45350</v>
      </c>
      <c r="L251" s="4">
        <f t="shared" si="78"/>
        <v>37</v>
      </c>
      <c r="M251" t="s">
        <v>256</v>
      </c>
      <c r="N251" s="2">
        <v>45353</v>
      </c>
      <c r="P251" s="5" t="s">
        <v>250</v>
      </c>
      <c r="R251" t="s">
        <v>253</v>
      </c>
    </row>
    <row r="252" spans="2:18" hidden="1" x14ac:dyDescent="0.3">
      <c r="B252" t="s">
        <v>34</v>
      </c>
      <c r="C252" t="s">
        <v>249</v>
      </c>
      <c r="D252" t="s">
        <v>275</v>
      </c>
      <c r="G252" t="s">
        <v>247</v>
      </c>
      <c r="H252" s="2">
        <v>45313</v>
      </c>
      <c r="I252" s="4">
        <f t="shared" ca="1" si="79"/>
        <v>9</v>
      </c>
      <c r="J252" s="4">
        <f t="shared" ca="1" si="80"/>
        <v>65</v>
      </c>
      <c r="K252" s="2">
        <v>45350</v>
      </c>
      <c r="L252" s="4">
        <f t="shared" si="78"/>
        <v>37</v>
      </c>
      <c r="M252" t="s">
        <v>256</v>
      </c>
      <c r="N252" s="2">
        <v>45353</v>
      </c>
      <c r="P252" s="5" t="s">
        <v>250</v>
      </c>
      <c r="R252" t="s">
        <v>253</v>
      </c>
    </row>
    <row r="253" spans="2:18" hidden="1" x14ac:dyDescent="0.3">
      <c r="B253" t="s">
        <v>34</v>
      </c>
      <c r="C253" t="s">
        <v>249</v>
      </c>
      <c r="D253" t="s">
        <v>276</v>
      </c>
      <c r="G253" t="s">
        <v>247</v>
      </c>
      <c r="H253" s="2">
        <v>45313</v>
      </c>
      <c r="I253" s="4">
        <f t="shared" ca="1" si="79"/>
        <v>9</v>
      </c>
      <c r="J253" s="4">
        <f t="shared" ca="1" si="80"/>
        <v>65</v>
      </c>
      <c r="K253" s="2">
        <v>45350</v>
      </c>
      <c r="L253" s="4">
        <f t="shared" si="78"/>
        <v>37</v>
      </c>
      <c r="M253" t="s">
        <v>256</v>
      </c>
      <c r="N253" s="2">
        <v>45353</v>
      </c>
      <c r="P253" s="5" t="s">
        <v>250</v>
      </c>
      <c r="R253" t="s">
        <v>253</v>
      </c>
    </row>
    <row r="254" spans="2:18" hidden="1" x14ac:dyDescent="0.3">
      <c r="B254" t="s">
        <v>34</v>
      </c>
      <c r="C254" t="s">
        <v>249</v>
      </c>
      <c r="D254" t="s">
        <v>277</v>
      </c>
      <c r="G254" t="s">
        <v>247</v>
      </c>
      <c r="H254" s="2">
        <v>45313</v>
      </c>
      <c r="I254" s="4">
        <f t="shared" ca="1" si="79"/>
        <v>9</v>
      </c>
      <c r="J254" s="4">
        <f t="shared" ca="1" si="80"/>
        <v>65</v>
      </c>
      <c r="K254" s="2">
        <v>45350</v>
      </c>
      <c r="L254" s="4">
        <f t="shared" si="78"/>
        <v>37</v>
      </c>
      <c r="M254" t="s">
        <v>256</v>
      </c>
      <c r="N254" s="2">
        <v>45353</v>
      </c>
      <c r="P254" s="5" t="s">
        <v>250</v>
      </c>
      <c r="R254" t="s">
        <v>253</v>
      </c>
    </row>
    <row r="255" spans="2:18" hidden="1" x14ac:dyDescent="0.3">
      <c r="B255" t="s">
        <v>34</v>
      </c>
      <c r="C255" t="s">
        <v>249</v>
      </c>
      <c r="D255" t="s">
        <v>278</v>
      </c>
      <c r="G255" t="s">
        <v>247</v>
      </c>
      <c r="H255" s="2">
        <v>45313</v>
      </c>
      <c r="I255" s="4">
        <f t="shared" ca="1" si="79"/>
        <v>9</v>
      </c>
      <c r="J255" s="4">
        <f t="shared" ca="1" si="80"/>
        <v>65</v>
      </c>
      <c r="K255" s="2">
        <v>45350</v>
      </c>
      <c r="L255" s="4">
        <f t="shared" si="78"/>
        <v>37</v>
      </c>
      <c r="M255" t="s">
        <v>256</v>
      </c>
      <c r="N255" s="2">
        <v>45353</v>
      </c>
      <c r="P255" s="5" t="s">
        <v>250</v>
      </c>
      <c r="R255" t="s">
        <v>253</v>
      </c>
    </row>
    <row r="256" spans="2:18" hidden="1" x14ac:dyDescent="0.3">
      <c r="B256" t="s">
        <v>5</v>
      </c>
      <c r="C256" t="s">
        <v>127</v>
      </c>
      <c r="E256" t="s">
        <v>16</v>
      </c>
      <c r="H256" s="2">
        <v>45355</v>
      </c>
      <c r="I256" s="4">
        <f t="shared" ref="I256" ca="1" si="81">IF(QUOTIENT(_xlfn.DAYS(TODAY(),H256), 7)&lt;1000, QUOTIENT(_xlfn.DAYS(TODAY(),H256), 7), "-")</f>
        <v>3</v>
      </c>
      <c r="J256" s="4">
        <f t="shared" ref="J256" ca="1" si="82">IF(_xlfn.DAYS(TODAY(),H256)&lt;10000, _xlfn.DAYS(TODAY(),H256), "-")</f>
        <v>23</v>
      </c>
      <c r="L256" s="4" t="str">
        <f t="shared" ref="L256" si="83">IF(_xlfn.DAYS(K256,H256)&gt;0, _xlfn.DAYS(K256,H256), "-")</f>
        <v>-</v>
      </c>
      <c r="M256" t="s">
        <v>235</v>
      </c>
      <c r="P256"/>
      <c r="R256" t="s">
        <v>285</v>
      </c>
    </row>
    <row r="257" spans="2:18" hidden="1" x14ac:dyDescent="0.3">
      <c r="B257" t="s">
        <v>5</v>
      </c>
      <c r="C257" t="s">
        <v>127</v>
      </c>
      <c r="E257" t="s">
        <v>16</v>
      </c>
      <c r="H257" s="2">
        <v>45355</v>
      </c>
      <c r="I257" s="4">
        <f t="shared" ref="I257:I266" ca="1" si="84">IF(QUOTIENT(_xlfn.DAYS(TODAY(),H257), 7)&lt;1000, QUOTIENT(_xlfn.DAYS(TODAY(),H257), 7), "-")</f>
        <v>3</v>
      </c>
      <c r="J257" s="4">
        <f t="shared" ref="J257:J266" ca="1" si="85">IF(_xlfn.DAYS(TODAY(),H257)&lt;10000, _xlfn.DAYS(TODAY(),H257), "-")</f>
        <v>23</v>
      </c>
      <c r="L257" s="4" t="str">
        <f t="shared" ref="L257:L266" si="86">IF(_xlfn.DAYS(K257,H257)&gt;0, _xlfn.DAYS(K257,H257), "-")</f>
        <v>-</v>
      </c>
      <c r="M257" t="s">
        <v>235</v>
      </c>
      <c r="R257" t="s">
        <v>285</v>
      </c>
    </row>
    <row r="258" spans="2:18" hidden="1" x14ac:dyDescent="0.3">
      <c r="B258" t="s">
        <v>5</v>
      </c>
      <c r="C258" t="s">
        <v>127</v>
      </c>
      <c r="E258" t="s">
        <v>16</v>
      </c>
      <c r="H258" s="2">
        <v>45355</v>
      </c>
      <c r="I258" s="4">
        <f t="shared" ca="1" si="84"/>
        <v>3</v>
      </c>
      <c r="J258" s="4">
        <f t="shared" ca="1" si="85"/>
        <v>23</v>
      </c>
      <c r="L258" s="4" t="str">
        <f t="shared" si="86"/>
        <v>-</v>
      </c>
      <c r="M258" t="s">
        <v>235</v>
      </c>
      <c r="R258" t="s">
        <v>285</v>
      </c>
    </row>
    <row r="259" spans="2:18" hidden="1" x14ac:dyDescent="0.3">
      <c r="B259" t="s">
        <v>5</v>
      </c>
      <c r="C259" t="s">
        <v>127</v>
      </c>
      <c r="E259" t="s">
        <v>16</v>
      </c>
      <c r="H259" s="2">
        <v>45355</v>
      </c>
      <c r="I259" s="4">
        <f t="shared" ca="1" si="84"/>
        <v>3</v>
      </c>
      <c r="J259" s="4">
        <f t="shared" ca="1" si="85"/>
        <v>23</v>
      </c>
      <c r="L259" s="4" t="str">
        <f t="shared" si="86"/>
        <v>-</v>
      </c>
      <c r="M259" t="s">
        <v>235</v>
      </c>
      <c r="R259" t="s">
        <v>285</v>
      </c>
    </row>
    <row r="260" spans="2:18" hidden="1" x14ac:dyDescent="0.3">
      <c r="B260" t="s">
        <v>5</v>
      </c>
      <c r="C260" t="s">
        <v>127</v>
      </c>
      <c r="E260" t="s">
        <v>16</v>
      </c>
      <c r="H260" s="2">
        <v>45355</v>
      </c>
      <c r="I260" s="4">
        <f t="shared" ca="1" si="84"/>
        <v>3</v>
      </c>
      <c r="J260" s="4">
        <f t="shared" ca="1" si="85"/>
        <v>23</v>
      </c>
      <c r="L260" s="4" t="str">
        <f t="shared" si="86"/>
        <v>-</v>
      </c>
      <c r="M260" t="s">
        <v>235</v>
      </c>
      <c r="R260" t="s">
        <v>285</v>
      </c>
    </row>
    <row r="261" spans="2:18" hidden="1" x14ac:dyDescent="0.3">
      <c r="B261" t="s">
        <v>5</v>
      </c>
      <c r="C261" t="s">
        <v>127</v>
      </c>
      <c r="E261" t="s">
        <v>16</v>
      </c>
      <c r="H261" s="2">
        <v>45355</v>
      </c>
      <c r="I261" s="4">
        <f t="shared" ca="1" si="84"/>
        <v>3</v>
      </c>
      <c r="J261" s="4">
        <f t="shared" ca="1" si="85"/>
        <v>23</v>
      </c>
      <c r="L261" s="4" t="str">
        <f t="shared" si="86"/>
        <v>-</v>
      </c>
      <c r="M261" t="s">
        <v>235</v>
      </c>
      <c r="R261" t="s">
        <v>285</v>
      </c>
    </row>
    <row r="262" spans="2:18" hidden="1" x14ac:dyDescent="0.3">
      <c r="B262" t="s">
        <v>5</v>
      </c>
      <c r="C262" t="s">
        <v>127</v>
      </c>
      <c r="E262" t="s">
        <v>16</v>
      </c>
      <c r="H262" s="2">
        <v>45355</v>
      </c>
      <c r="I262" s="4">
        <f t="shared" ca="1" si="84"/>
        <v>3</v>
      </c>
      <c r="J262" s="4">
        <f t="shared" ca="1" si="85"/>
        <v>23</v>
      </c>
      <c r="L262" s="4" t="str">
        <f t="shared" si="86"/>
        <v>-</v>
      </c>
      <c r="M262" t="s">
        <v>235</v>
      </c>
      <c r="R262" t="s">
        <v>285</v>
      </c>
    </row>
    <row r="263" spans="2:18" hidden="1" x14ac:dyDescent="0.3">
      <c r="B263" t="s">
        <v>5</v>
      </c>
      <c r="C263" t="s">
        <v>127</v>
      </c>
      <c r="E263" t="s">
        <v>16</v>
      </c>
      <c r="H263" s="2">
        <v>45355</v>
      </c>
      <c r="I263" s="4">
        <f t="shared" ca="1" si="84"/>
        <v>3</v>
      </c>
      <c r="J263" s="4">
        <f t="shared" ca="1" si="85"/>
        <v>23</v>
      </c>
      <c r="L263" s="4" t="str">
        <f t="shared" si="86"/>
        <v>-</v>
      </c>
      <c r="M263" t="s">
        <v>235</v>
      </c>
      <c r="R263" t="s">
        <v>285</v>
      </c>
    </row>
    <row r="264" spans="2:18" hidden="1" x14ac:dyDescent="0.3">
      <c r="B264" t="s">
        <v>5</v>
      </c>
      <c r="C264" t="s">
        <v>127</v>
      </c>
      <c r="E264" t="s">
        <v>16</v>
      </c>
      <c r="H264" s="2">
        <v>45355</v>
      </c>
      <c r="I264" s="4">
        <f t="shared" ca="1" si="84"/>
        <v>3</v>
      </c>
      <c r="J264" s="4">
        <f t="shared" ca="1" si="85"/>
        <v>23</v>
      </c>
      <c r="L264" s="4" t="str">
        <f t="shared" si="86"/>
        <v>-</v>
      </c>
      <c r="M264" t="s">
        <v>235</v>
      </c>
      <c r="R264" t="s">
        <v>285</v>
      </c>
    </row>
    <row r="265" spans="2:18" hidden="1" x14ac:dyDescent="0.3">
      <c r="B265" t="s">
        <v>290</v>
      </c>
      <c r="C265" t="s">
        <v>112</v>
      </c>
      <c r="E265" t="s">
        <v>15</v>
      </c>
      <c r="H265" s="2">
        <v>45372</v>
      </c>
      <c r="I265" s="4">
        <f t="shared" ca="1" si="84"/>
        <v>0</v>
      </c>
      <c r="J265" s="4">
        <f t="shared" ca="1" si="85"/>
        <v>6</v>
      </c>
      <c r="L265" s="4" t="str">
        <f t="shared" si="86"/>
        <v>-</v>
      </c>
      <c r="M265" t="s">
        <v>291</v>
      </c>
      <c r="Q265" t="s">
        <v>292</v>
      </c>
      <c r="R265" t="s">
        <v>293</v>
      </c>
    </row>
    <row r="266" spans="2:18" x14ac:dyDescent="0.3">
      <c r="B266" t="s">
        <v>34</v>
      </c>
      <c r="C266" t="s">
        <v>110</v>
      </c>
      <c r="E266" t="s">
        <v>16</v>
      </c>
      <c r="G266" t="s">
        <v>11</v>
      </c>
      <c r="H266" s="2">
        <v>45378</v>
      </c>
      <c r="I266" s="4">
        <f t="shared" ca="1" si="84"/>
        <v>0</v>
      </c>
      <c r="J266" s="4">
        <f t="shared" ca="1" si="85"/>
        <v>0</v>
      </c>
      <c r="L266" s="4" t="str">
        <f t="shared" si="86"/>
        <v>-</v>
      </c>
      <c r="M266" t="s">
        <v>294</v>
      </c>
      <c r="Q266" t="s">
        <v>295</v>
      </c>
    </row>
    <row r="267" spans="2:18" x14ac:dyDescent="0.3">
      <c r="I267" s="4"/>
      <c r="J267" s="4"/>
      <c r="L267" s="4"/>
    </row>
  </sheetData>
  <autoFilter ref="B1:R265" xr:uid="{8D08DEC4-803F-4130-9E5E-30A83401A29D}">
    <filterColumn colId="0">
      <filters>
        <filter val="5F"/>
      </filters>
    </filterColumn>
    <filterColumn colId="1">
      <filters>
        <filter val="Tmem119-CreERT2; Tsg101-flox"/>
      </filters>
    </filterColumn>
    <filterColumn colId="13">
      <filters blank="1"/>
    </filterColumn>
  </autoFilter>
  <phoneticPr fontId="1" type="noConversion"/>
  <conditionalFormatting sqref="M155:M158 M227:M230 M160 M162 M164:M172 M31:M41 M43:M59 M1:M27 M128:M129 M131:M132 M134 M136:M153 M65:M68 M62 M70:M126 M241:M255 M175:M217 M219:M225 M268:M1048576">
    <cfRule type="containsText" dxfId="69" priority="77" operator="containsText" text=".X">
      <formula>NOT(ISERROR(SEARCH(".X",M1)))</formula>
    </cfRule>
    <cfRule type="containsText" dxfId="68" priority="78" operator="containsText" text=".B">
      <formula>NOT(ISERROR(SEARCH(".B",M1)))</formula>
    </cfRule>
  </conditionalFormatting>
  <conditionalFormatting sqref="M154">
    <cfRule type="containsText" dxfId="67" priority="75" operator="containsText" text=".X">
      <formula>NOT(ISERROR(SEARCH(".X",M154)))</formula>
    </cfRule>
    <cfRule type="containsText" dxfId="66" priority="76" operator="containsText" text=".B">
      <formula>NOT(ISERROR(SEARCH(".B",M154)))</formula>
    </cfRule>
  </conditionalFormatting>
  <conditionalFormatting sqref="M159">
    <cfRule type="containsText" dxfId="65" priority="71" operator="containsText" text=".X">
      <formula>NOT(ISERROR(SEARCH(".X",M159)))</formula>
    </cfRule>
    <cfRule type="containsText" dxfId="64" priority="72" operator="containsText" text=".B">
      <formula>NOT(ISERROR(SEARCH(".B",M159)))</formula>
    </cfRule>
  </conditionalFormatting>
  <conditionalFormatting sqref="M161">
    <cfRule type="containsText" dxfId="63" priority="69" operator="containsText" text=".X">
      <formula>NOT(ISERROR(SEARCH(".X",M161)))</formula>
    </cfRule>
    <cfRule type="containsText" dxfId="62" priority="70" operator="containsText" text=".B">
      <formula>NOT(ISERROR(SEARCH(".B",M161)))</formula>
    </cfRule>
  </conditionalFormatting>
  <conditionalFormatting sqref="M163">
    <cfRule type="containsText" dxfId="61" priority="67" operator="containsText" text=".X">
      <formula>NOT(ISERROR(SEARCH(".X",M163)))</formula>
    </cfRule>
    <cfRule type="containsText" dxfId="60" priority="68" operator="containsText" text=".B">
      <formula>NOT(ISERROR(SEARCH(".B",M163)))</formula>
    </cfRule>
  </conditionalFormatting>
  <conditionalFormatting sqref="M173">
    <cfRule type="containsText" dxfId="59" priority="65" operator="containsText" text=".X">
      <formula>NOT(ISERROR(SEARCH(".X",M173)))</formula>
    </cfRule>
    <cfRule type="containsText" dxfId="58" priority="66" operator="containsText" text=".B">
      <formula>NOT(ISERROR(SEARCH(".B",M173)))</formula>
    </cfRule>
  </conditionalFormatting>
  <conditionalFormatting sqref="M174">
    <cfRule type="containsText" dxfId="57" priority="63" operator="containsText" text=".X">
      <formula>NOT(ISERROR(SEARCH(".X",M174)))</formula>
    </cfRule>
    <cfRule type="containsText" dxfId="56" priority="64" operator="containsText" text=".B">
      <formula>NOT(ISERROR(SEARCH(".B",M174)))</formula>
    </cfRule>
  </conditionalFormatting>
  <conditionalFormatting sqref="M30">
    <cfRule type="containsText" dxfId="55" priority="59" operator="containsText" text=".X">
      <formula>NOT(ISERROR(SEARCH(".X",M30)))</formula>
    </cfRule>
    <cfRule type="containsText" dxfId="54" priority="60" operator="containsText" text=".B">
      <formula>NOT(ISERROR(SEARCH(".B",M30)))</formula>
    </cfRule>
  </conditionalFormatting>
  <conditionalFormatting sqref="M42">
    <cfRule type="containsText" dxfId="53" priority="57" operator="containsText" text=".X">
      <formula>NOT(ISERROR(SEARCH(".X",M42)))</formula>
    </cfRule>
    <cfRule type="containsText" dxfId="52" priority="58" operator="containsText" text=".B">
      <formula>NOT(ISERROR(SEARCH(".B",M42)))</formula>
    </cfRule>
  </conditionalFormatting>
  <conditionalFormatting sqref="M29">
    <cfRule type="containsText" dxfId="51" priority="55" operator="containsText" text=".X">
      <formula>NOT(ISERROR(SEARCH(".X",M29)))</formula>
    </cfRule>
    <cfRule type="containsText" dxfId="50" priority="56" operator="containsText" text=".B">
      <formula>NOT(ISERROR(SEARCH(".B",M29)))</formula>
    </cfRule>
  </conditionalFormatting>
  <conditionalFormatting sqref="M28">
    <cfRule type="containsText" dxfId="49" priority="53" operator="containsText" text=".X">
      <formula>NOT(ISERROR(SEARCH(".X",M28)))</formula>
    </cfRule>
    <cfRule type="containsText" dxfId="48" priority="54" operator="containsText" text=".B">
      <formula>NOT(ISERROR(SEARCH(".B",M28)))</formula>
    </cfRule>
  </conditionalFormatting>
  <conditionalFormatting sqref="R131">
    <cfRule type="containsText" dxfId="47" priority="49" operator="containsText" text=".X">
      <formula>NOT(ISERROR(SEARCH(".X",R131)))</formula>
    </cfRule>
    <cfRule type="containsText" dxfId="46" priority="50" operator="containsText" text=".B">
      <formula>NOT(ISERROR(SEARCH(".B",R131)))</formula>
    </cfRule>
  </conditionalFormatting>
  <conditionalFormatting sqref="R132">
    <cfRule type="containsText" dxfId="45" priority="47" operator="containsText" text=".X">
      <formula>NOT(ISERROR(SEARCH(".X",R132)))</formula>
    </cfRule>
    <cfRule type="containsText" dxfId="44" priority="48" operator="containsText" text=".B">
      <formula>NOT(ISERROR(SEARCH(".B",R132)))</formula>
    </cfRule>
  </conditionalFormatting>
  <conditionalFormatting sqref="R134:R135">
    <cfRule type="containsText" dxfId="43" priority="45" operator="containsText" text=".X">
      <formula>NOT(ISERROR(SEARCH(".X",R134)))</formula>
    </cfRule>
    <cfRule type="containsText" dxfId="42" priority="46" operator="containsText" text=".B">
      <formula>NOT(ISERROR(SEARCH(".B",R134)))</formula>
    </cfRule>
  </conditionalFormatting>
  <conditionalFormatting sqref="M135">
    <cfRule type="containsText" dxfId="41" priority="43" operator="containsText" text=".X">
      <formula>NOT(ISERROR(SEARCH(".X",M135)))</formula>
    </cfRule>
    <cfRule type="containsText" dxfId="40" priority="44" operator="containsText" text=".B">
      <formula>NOT(ISERROR(SEARCH(".B",M135)))</formula>
    </cfRule>
  </conditionalFormatting>
  <conditionalFormatting sqref="M127">
    <cfRule type="containsText" dxfId="39" priority="41" operator="containsText" text=".X">
      <formula>NOT(ISERROR(SEARCH(".X",M127)))</formula>
    </cfRule>
    <cfRule type="containsText" dxfId="38" priority="42" operator="containsText" text=".B">
      <formula>NOT(ISERROR(SEARCH(".B",M127)))</formula>
    </cfRule>
  </conditionalFormatting>
  <conditionalFormatting sqref="R127">
    <cfRule type="containsText" dxfId="37" priority="39" operator="containsText" text=".X">
      <formula>NOT(ISERROR(SEARCH(".X",R127)))</formula>
    </cfRule>
    <cfRule type="containsText" dxfId="36" priority="40" operator="containsText" text=".B">
      <formula>NOT(ISERROR(SEARCH(".B",R127)))</formula>
    </cfRule>
  </conditionalFormatting>
  <conditionalFormatting sqref="M130">
    <cfRule type="containsText" dxfId="35" priority="37" operator="containsText" text=".X">
      <formula>NOT(ISERROR(SEARCH(".X",M130)))</formula>
    </cfRule>
    <cfRule type="containsText" dxfId="34" priority="38" operator="containsText" text=".B">
      <formula>NOT(ISERROR(SEARCH(".B",M130)))</formula>
    </cfRule>
  </conditionalFormatting>
  <conditionalFormatting sqref="M133">
    <cfRule type="containsText" dxfId="33" priority="35" operator="containsText" text=".X">
      <formula>NOT(ISERROR(SEARCH(".X",M133)))</formula>
    </cfRule>
    <cfRule type="containsText" dxfId="32" priority="36" operator="containsText" text=".B">
      <formula>NOT(ISERROR(SEARCH(".B",M133)))</formula>
    </cfRule>
  </conditionalFormatting>
  <conditionalFormatting sqref="M63:M64">
    <cfRule type="containsText" dxfId="31" priority="33" operator="containsText" text=".X">
      <formula>NOT(ISERROR(SEARCH(".X",M63)))</formula>
    </cfRule>
    <cfRule type="containsText" dxfId="30" priority="34" operator="containsText" text=".B">
      <formula>NOT(ISERROR(SEARCH(".B",M63)))</formula>
    </cfRule>
  </conditionalFormatting>
  <conditionalFormatting sqref="M69">
    <cfRule type="containsText" dxfId="29" priority="31" operator="containsText" text=".X">
      <formula>NOT(ISERROR(SEARCH(".X",M69)))</formula>
    </cfRule>
    <cfRule type="containsText" dxfId="28" priority="32" operator="containsText" text=".B">
      <formula>NOT(ISERROR(SEARCH(".B",M69)))</formula>
    </cfRule>
  </conditionalFormatting>
  <conditionalFormatting sqref="M60:M61">
    <cfRule type="containsText" dxfId="27" priority="29" operator="containsText" text=".X">
      <formula>NOT(ISERROR(SEARCH(".X",M60)))</formula>
    </cfRule>
    <cfRule type="containsText" dxfId="26" priority="30" operator="containsText" text=".B">
      <formula>NOT(ISERROR(SEARCH(".B",M60)))</formula>
    </cfRule>
  </conditionalFormatting>
  <conditionalFormatting sqref="M231">
    <cfRule type="containsText" dxfId="25" priority="25" operator="containsText" text=".X">
      <formula>NOT(ISERROR(SEARCH(".X",M231)))</formula>
    </cfRule>
    <cfRule type="containsText" dxfId="24" priority="26" operator="containsText" text=".B">
      <formula>NOT(ISERROR(SEARCH(".B",M231)))</formula>
    </cfRule>
  </conditionalFormatting>
  <conditionalFormatting sqref="M232">
    <cfRule type="containsText" dxfId="23" priority="23" operator="containsText" text=".X">
      <formula>NOT(ISERROR(SEARCH(".X",M232)))</formula>
    </cfRule>
    <cfRule type="containsText" dxfId="22" priority="24" operator="containsText" text=".B">
      <formula>NOT(ISERROR(SEARCH(".B",M232)))</formula>
    </cfRule>
  </conditionalFormatting>
  <conditionalFormatting sqref="M233">
    <cfRule type="containsText" dxfId="21" priority="21" operator="containsText" text=".X">
      <formula>NOT(ISERROR(SEARCH(".X",M233)))</formula>
    </cfRule>
    <cfRule type="containsText" dxfId="20" priority="22" operator="containsText" text=".B">
      <formula>NOT(ISERROR(SEARCH(".B",M233)))</formula>
    </cfRule>
  </conditionalFormatting>
  <conditionalFormatting sqref="M234">
    <cfRule type="containsText" dxfId="19" priority="19" operator="containsText" text=".X">
      <formula>NOT(ISERROR(SEARCH(".X",M234)))</formula>
    </cfRule>
    <cfRule type="containsText" dxfId="18" priority="20" operator="containsText" text=".B">
      <formula>NOT(ISERROR(SEARCH(".B",M234)))</formula>
    </cfRule>
  </conditionalFormatting>
  <conditionalFormatting sqref="M235">
    <cfRule type="containsText" dxfId="17" priority="17" operator="containsText" text=".X">
      <formula>NOT(ISERROR(SEARCH(".X",M235)))</formula>
    </cfRule>
    <cfRule type="containsText" dxfId="16" priority="18" operator="containsText" text=".B">
      <formula>NOT(ISERROR(SEARCH(".B",M235)))</formula>
    </cfRule>
  </conditionalFormatting>
  <conditionalFormatting sqref="M236">
    <cfRule type="containsText" dxfId="15" priority="15" operator="containsText" text=".X">
      <formula>NOT(ISERROR(SEARCH(".X",M236)))</formula>
    </cfRule>
    <cfRule type="containsText" dxfId="14" priority="16" operator="containsText" text=".B">
      <formula>NOT(ISERROR(SEARCH(".B",M236)))</formula>
    </cfRule>
  </conditionalFormatting>
  <conditionalFormatting sqref="M237">
    <cfRule type="containsText" dxfId="13" priority="13" operator="containsText" text=".X">
      <formula>NOT(ISERROR(SEARCH(".X",M237)))</formula>
    </cfRule>
    <cfRule type="containsText" dxfId="12" priority="14" operator="containsText" text=".B">
      <formula>NOT(ISERROR(SEARCH(".B",M237)))</formula>
    </cfRule>
  </conditionalFormatting>
  <conditionalFormatting sqref="M238">
    <cfRule type="containsText" dxfId="11" priority="11" operator="containsText" text=".X">
      <formula>NOT(ISERROR(SEARCH(".X",M238)))</formula>
    </cfRule>
    <cfRule type="containsText" dxfId="10" priority="12" operator="containsText" text=".B">
      <formula>NOT(ISERROR(SEARCH(".B",M238)))</formula>
    </cfRule>
  </conditionalFormatting>
  <conditionalFormatting sqref="M239">
    <cfRule type="containsText" dxfId="9" priority="9" operator="containsText" text=".X">
      <formula>NOT(ISERROR(SEARCH(".X",M239)))</formula>
    </cfRule>
    <cfRule type="containsText" dxfId="8" priority="10" operator="containsText" text=".B">
      <formula>NOT(ISERROR(SEARCH(".B",M239)))</formula>
    </cfRule>
  </conditionalFormatting>
  <conditionalFormatting sqref="M240">
    <cfRule type="containsText" dxfId="7" priority="7" operator="containsText" text=".X">
      <formula>NOT(ISERROR(SEARCH(".X",M240)))</formula>
    </cfRule>
    <cfRule type="containsText" dxfId="6" priority="8" operator="containsText" text=".B">
      <formula>NOT(ISERROR(SEARCH(".B",M240)))</formula>
    </cfRule>
  </conditionalFormatting>
  <conditionalFormatting sqref="M226">
    <cfRule type="containsText" dxfId="5" priority="5" operator="containsText" text=".X">
      <formula>NOT(ISERROR(SEARCH(".X",M226)))</formula>
    </cfRule>
    <cfRule type="containsText" dxfId="4" priority="6" operator="containsText" text=".B">
      <formula>NOT(ISERROR(SEARCH(".B",M226)))</formula>
    </cfRule>
  </conditionalFormatting>
  <conditionalFormatting sqref="M218">
    <cfRule type="containsText" dxfId="3" priority="3" operator="containsText" text=".X">
      <formula>NOT(ISERROR(SEARCH(".X",M218)))</formula>
    </cfRule>
    <cfRule type="containsText" dxfId="2" priority="4" operator="containsText" text=".B">
      <formula>NOT(ISERROR(SEARCH(".B",M218)))</formula>
    </cfRule>
  </conditionalFormatting>
  <conditionalFormatting sqref="M256:M267">
    <cfRule type="containsText" dxfId="1" priority="1" operator="containsText" text=".X">
      <formula>NOT(ISERROR(SEARCH(".X",M256)))</formula>
    </cfRule>
    <cfRule type="containsText" dxfId="0" priority="2" operator="containsText" text=".B">
      <formula>NOT(ISERROR(SEARCH(".B",M256)))</formula>
    </cfRule>
  </conditionalFormatting>
  <dataValidations count="3">
    <dataValidation type="list" allowBlank="1" showInputMessage="1" showErrorMessage="1" sqref="E157:E159 E148:E150 E1:E141 E192:E220 E161:E190 E222:E1048576" xr:uid="{939E2B39-E841-4A9F-AD11-00C266DB2690}">
      <formula1>"Y, N"</formula1>
    </dataValidation>
    <dataValidation type="list" allowBlank="1" showInputMessage="1" showErrorMessage="1" sqref="G1:G1048576" xr:uid="{2DE54AC7-5B92-48D6-98C4-E6203F87CDD0}">
      <formula1>"M, F"</formula1>
    </dataValidation>
    <dataValidation type="list" allowBlank="1" showInputMessage="1" showErrorMessage="1" sqref="B1:B1048576" xr:uid="{ACC76399-D52A-490E-9FEF-427013FFE2CE}">
      <formula1>"SPF, 5F"</formula1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FBA1-B906-4440-9539-B905A5CA8161}">
  <dimension ref="C2:H4"/>
  <sheetViews>
    <sheetView workbookViewId="0">
      <selection activeCell="O13" sqref="O13"/>
    </sheetView>
  </sheetViews>
  <sheetFormatPr defaultColWidth="8.875" defaultRowHeight="16.5" x14ac:dyDescent="0.3"/>
  <cols>
    <col min="3" max="3" width="27.625" customWidth="1"/>
    <col min="4" max="4" width="10.875" customWidth="1"/>
  </cols>
  <sheetData>
    <row r="2" spans="3:8" x14ac:dyDescent="0.3">
      <c r="D2" t="s">
        <v>78</v>
      </c>
      <c r="E2" t="s">
        <v>68</v>
      </c>
      <c r="G2" s="20" t="s">
        <v>79</v>
      </c>
      <c r="H2" s="20"/>
    </row>
    <row r="3" spans="3:8" x14ac:dyDescent="0.3">
      <c r="C3" t="s">
        <v>75</v>
      </c>
      <c r="D3" t="s">
        <v>77</v>
      </c>
      <c r="E3" s="5" t="s">
        <v>22</v>
      </c>
      <c r="G3" t="s">
        <v>77</v>
      </c>
      <c r="H3" s="5" t="s">
        <v>22</v>
      </c>
    </row>
    <row r="4" spans="3:8" x14ac:dyDescent="0.3">
      <c r="C4" t="s">
        <v>76</v>
      </c>
      <c r="D4" t="s">
        <v>77</v>
      </c>
      <c r="E4" s="5" t="s">
        <v>22</v>
      </c>
      <c r="G4" t="s">
        <v>77</v>
      </c>
      <c r="H4" s="5" t="s">
        <v>22</v>
      </c>
    </row>
  </sheetData>
  <mergeCells count="1">
    <mergeCell ref="G2:H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99E8-C5CF-4A6C-8EDC-A8EC4FAEDD12}">
  <dimension ref="B7:E8"/>
  <sheetViews>
    <sheetView workbookViewId="0">
      <selection activeCell="F9" sqref="F9"/>
    </sheetView>
  </sheetViews>
  <sheetFormatPr defaultRowHeight="16.5" x14ac:dyDescent="0.3"/>
  <cols>
    <col min="2" max="2" width="11.875" bestFit="1" customWidth="1"/>
    <col min="3" max="3" width="11.125" bestFit="1" customWidth="1"/>
  </cols>
  <sheetData>
    <row r="7" spans="2:5" x14ac:dyDescent="0.3">
      <c r="B7" t="s">
        <v>1</v>
      </c>
      <c r="C7" s="2"/>
    </row>
    <row r="8" spans="2:5" x14ac:dyDescent="0.3">
      <c r="B8" s="2">
        <v>45300</v>
      </c>
      <c r="C8" s="2">
        <v>45365</v>
      </c>
      <c r="D8">
        <f>_xlfn.DAYS(C8,B8)</f>
        <v>65</v>
      </c>
      <c r="E8">
        <f>QUOTIENT(D8, 7)</f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D0B9-8C45-41F1-B207-9E51E4F55111}">
  <dimension ref="A6:G17"/>
  <sheetViews>
    <sheetView workbookViewId="0">
      <selection activeCell="D16" sqref="D16"/>
    </sheetView>
  </sheetViews>
  <sheetFormatPr defaultColWidth="8.875" defaultRowHeight="16.5" x14ac:dyDescent="0.3"/>
  <cols>
    <col min="3" max="3" width="28.625" customWidth="1"/>
    <col min="6" max="6" width="72.375" customWidth="1"/>
    <col min="7" max="7" width="30.375" customWidth="1"/>
  </cols>
  <sheetData>
    <row r="6" spans="1:7" x14ac:dyDescent="0.3">
      <c r="A6">
        <v>1</v>
      </c>
      <c r="B6" s="17" t="s">
        <v>42</v>
      </c>
      <c r="C6" s="17" t="s">
        <v>182</v>
      </c>
      <c r="D6" s="17" t="s">
        <v>191</v>
      </c>
      <c r="E6" s="17" t="s">
        <v>190</v>
      </c>
    </row>
    <row r="7" spans="1:7" x14ac:dyDescent="0.3">
      <c r="A7">
        <v>2</v>
      </c>
      <c r="B7" s="17" t="s">
        <v>41</v>
      </c>
      <c r="C7" s="17" t="s">
        <v>182</v>
      </c>
      <c r="D7" s="17" t="s">
        <v>189</v>
      </c>
      <c r="E7" s="17" t="s">
        <v>188</v>
      </c>
    </row>
    <row r="8" spans="1:7" x14ac:dyDescent="0.3">
      <c r="A8">
        <v>3</v>
      </c>
      <c r="B8" s="18" t="s">
        <v>40</v>
      </c>
      <c r="C8" s="18" t="s">
        <v>182</v>
      </c>
      <c r="D8" s="18" t="s">
        <v>183</v>
      </c>
      <c r="E8" s="18">
        <v>17</v>
      </c>
    </row>
    <row r="9" spans="1:7" x14ac:dyDescent="0.3">
      <c r="A9">
        <v>4</v>
      </c>
      <c r="B9" t="s">
        <v>90</v>
      </c>
      <c r="C9" t="s">
        <v>182</v>
      </c>
      <c r="D9" t="s">
        <v>187</v>
      </c>
      <c r="E9">
        <v>8</v>
      </c>
      <c r="F9" t="s">
        <v>186</v>
      </c>
      <c r="G9" t="s">
        <v>185</v>
      </c>
    </row>
    <row r="10" spans="1:7" x14ac:dyDescent="0.3">
      <c r="A10">
        <v>5</v>
      </c>
      <c r="B10" t="s">
        <v>91</v>
      </c>
      <c r="C10" t="s">
        <v>182</v>
      </c>
      <c r="D10" t="s">
        <v>184</v>
      </c>
      <c r="E10">
        <v>8</v>
      </c>
    </row>
    <row r="11" spans="1:7" x14ac:dyDescent="0.3">
      <c r="A11">
        <v>6</v>
      </c>
      <c r="B11" t="s">
        <v>157</v>
      </c>
      <c r="C11" t="s">
        <v>182</v>
      </c>
      <c r="D11" t="s">
        <v>183</v>
      </c>
      <c r="E11">
        <v>4</v>
      </c>
    </row>
    <row r="12" spans="1:7" x14ac:dyDescent="0.3">
      <c r="A12">
        <v>7</v>
      </c>
      <c r="B12" t="s">
        <v>158</v>
      </c>
      <c r="C12" t="s">
        <v>182</v>
      </c>
      <c r="D12" t="s">
        <v>181</v>
      </c>
      <c r="E12">
        <v>4</v>
      </c>
      <c r="F12" t="s">
        <v>180</v>
      </c>
      <c r="G12" t="s">
        <v>179</v>
      </c>
    </row>
    <row r="14" spans="1:7" x14ac:dyDescent="0.3">
      <c r="A14">
        <v>8</v>
      </c>
      <c r="B14" s="18" t="s">
        <v>139</v>
      </c>
      <c r="C14" s="18" t="s">
        <v>177</v>
      </c>
      <c r="D14" s="18" t="s">
        <v>178</v>
      </c>
    </row>
    <row r="15" spans="1:7" x14ac:dyDescent="0.3">
      <c r="A15">
        <v>9</v>
      </c>
      <c r="B15" s="18" t="s">
        <v>141</v>
      </c>
      <c r="C15" s="18" t="s">
        <v>177</v>
      </c>
      <c r="D15" s="18" t="s">
        <v>178</v>
      </c>
    </row>
    <row r="16" spans="1:7" x14ac:dyDescent="0.3">
      <c r="A16">
        <v>10</v>
      </c>
      <c r="B16" s="17" t="s">
        <v>140</v>
      </c>
      <c r="C16" s="17" t="s">
        <v>177</v>
      </c>
      <c r="D16" s="17" t="s">
        <v>176</v>
      </c>
    </row>
    <row r="17" spans="1:4" x14ac:dyDescent="0.3">
      <c r="A17">
        <v>11</v>
      </c>
      <c r="B17" s="17" t="s">
        <v>142</v>
      </c>
      <c r="C17" s="17" t="s">
        <v>177</v>
      </c>
      <c r="D17" s="17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Sungwoo Chang</dc:creator>
  <cp:lastModifiedBy>Sungwoo Chang</cp:lastModifiedBy>
  <cp:lastPrinted>2024-03-06T12:24:59Z</cp:lastPrinted>
  <dcterms:created xsi:type="dcterms:W3CDTF">2023-12-15T07:54:27Z</dcterms:created>
  <dcterms:modified xsi:type="dcterms:W3CDTF">2024-03-27T14:53:22Z</dcterms:modified>
</cp:coreProperties>
</file>