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OneDrive\바탕 화면\동물실\"/>
    </mc:Choice>
  </mc:AlternateContent>
  <xr:revisionPtr revIDLastSave="0" documentId="13_ncr:1_{110A8AF2-15BB-465E-8ADC-3FE7C908FA0D}" xr6:coauthVersionLast="36" xr6:coauthVersionMax="36" xr10:uidLastSave="{00000000-0000-0000-0000-000000000000}"/>
  <bookViews>
    <workbookView xWindow="0" yWindow="0" windowWidth="19080" windowHeight="9180" xr2:uid="{5A73A69A-2AFB-4F3E-AC64-070DD7700CB2}"/>
  </bookViews>
  <sheets>
    <sheet name="Sheet1" sheetId="1" r:id="rId1"/>
    <sheet name="Sheet2" sheetId="2" r:id="rId2"/>
  </sheets>
  <definedNames>
    <definedName name="_xlnm._FilterDatabase" localSheetId="0" hidden="1">Sheet1!$B$1:$Q$130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30" i="1" l="1"/>
  <c r="H130" i="1"/>
  <c r="I129" i="1"/>
  <c r="H129" i="1"/>
  <c r="I128" i="1"/>
  <c r="H128" i="1"/>
  <c r="I127" i="1" l="1"/>
  <c r="H127" i="1"/>
  <c r="I126" i="1"/>
  <c r="H126" i="1"/>
  <c r="I125" i="1"/>
  <c r="H125" i="1"/>
  <c r="H124" i="1"/>
  <c r="I124" i="1"/>
  <c r="K124" i="1"/>
  <c r="K4" i="1" l="1"/>
  <c r="K3" i="1"/>
  <c r="K2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5" i="1"/>
  <c r="K36" i="1"/>
  <c r="K37" i="1"/>
  <c r="K38" i="1"/>
  <c r="K39" i="1"/>
  <c r="K40" i="1"/>
  <c r="K34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5" i="1"/>
  <c r="I107" i="1" l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95" i="1"/>
  <c r="I95" i="1"/>
  <c r="H96" i="1"/>
  <c r="I96" i="1"/>
  <c r="H97" i="1"/>
  <c r="I9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94" i="1"/>
  <c r="I94" i="1"/>
  <c r="H92" i="1"/>
  <c r="I92" i="1"/>
  <c r="H93" i="1"/>
  <c r="I93" i="1"/>
  <c r="H43" i="1" l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42" i="1"/>
  <c r="I42" i="1"/>
  <c r="H39" i="1"/>
  <c r="I39" i="1"/>
  <c r="H40" i="1"/>
  <c r="I40" i="1"/>
  <c r="H34" i="1"/>
  <c r="I34" i="1"/>
  <c r="H41" i="1"/>
  <c r="I41" i="1"/>
  <c r="H32" i="1"/>
  <c r="I32" i="1"/>
  <c r="H33" i="1"/>
  <c r="I33" i="1"/>
  <c r="H35" i="1"/>
  <c r="I35" i="1"/>
  <c r="H36" i="1"/>
  <c r="I36" i="1"/>
  <c r="H37" i="1"/>
  <c r="I37" i="1"/>
  <c r="H38" i="1"/>
  <c r="I38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2" i="1"/>
  <c r="H23" i="1"/>
  <c r="H24" i="1"/>
  <c r="H25" i="1"/>
  <c r="H26" i="1"/>
  <c r="H27" i="1"/>
  <c r="H28" i="1"/>
  <c r="H29" i="1"/>
  <c r="H30" i="1"/>
  <c r="H3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" i="1"/>
</calcChain>
</file>

<file path=xl/sharedStrings.xml><?xml version="1.0" encoding="utf-8"?>
<sst xmlns="http://schemas.openxmlformats.org/spreadsheetml/2006/main" count="930" uniqueCount="135">
  <si>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</si>
  <si>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</si>
  <si>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</si>
  <si>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</si>
  <si>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</si>
  <si>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</si>
  <si>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</si>
  <si>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</si>
  <si>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</si>
  <si>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</si>
  <si>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</si>
  <si>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</si>
  <si>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</si>
  <si>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</si>
  <si>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</si>
  <si>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</si>
  <si>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</si>
  <si>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</si>
  <si>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</si>
  <si>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</si>
  <si>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</si>
  <si>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CD36 flox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</si>
  <si>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</si>
  <si>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</si>
  <si>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</si>
  <si>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</si>
  <si>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</si>
  <si>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</si>
  <si>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</si>
  <si>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</si>
  <si>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</si>
  <si>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</si>
  <si>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</si>
  <si>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</si>
  <si>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</si>
  <si>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</si>
  <si>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</si>
  <si>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</si>
  <si>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GL261-sIL-33</t>
    <phoneticPr fontId="1" type="noConversion"/>
  </si>
  <si>
    <t>GL261-pLV</t>
    <phoneticPr fontId="1" type="noConversion"/>
  </si>
  <si>
    <t>P1</t>
    <phoneticPr fontId="1" type="noConversion"/>
  </si>
  <si>
    <t>P2</t>
    <phoneticPr fontId="1" type="noConversion"/>
  </si>
  <si>
    <t>D1.2.F</t>
    <phoneticPr fontId="1" type="noConversion"/>
  </si>
  <si>
    <t>D1.2.M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</si>
  <si>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</si>
  <si>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</si>
  <si>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</si>
  <si>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</si>
  <si>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</si>
  <si>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</si>
  <si>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</si>
  <si>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</si>
  <si>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</si>
  <si>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</si>
  <si>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</si>
  <si>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</si>
  <si>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</si>
  <si>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</si>
  <si>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</si>
  <si>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C1.1.F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</si>
  <si>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</si>
  <si>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</si>
  <si>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</si>
  <si>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</si>
  <si>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</si>
  <si>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</si>
  <si>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</si>
  <si>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</si>
  <si>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</si>
  <si>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</si>
  <si>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</si>
  <si>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</si>
  <si>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비고</t>
    <phoneticPr fontId="1" type="noConversion"/>
  </si>
  <si>
    <t>DMSO</t>
    <phoneticPr fontId="1" type="noConversion"/>
  </si>
  <si>
    <t>Retinoid acid</t>
    <phoneticPr fontId="1" type="noConversion"/>
  </si>
  <si>
    <t>Exp. A-2-1</t>
    <phoneticPr fontId="1" type="noConversion"/>
  </si>
  <si>
    <t>Exp. A-1-1</t>
    <phoneticPr fontId="1" type="noConversion"/>
  </si>
  <si>
    <t>Antibiotics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</si>
  <si>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</si>
  <si>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</si>
  <si>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</si>
  <si>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</si>
  <si>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</si>
  <si>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</si>
  <si>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</si>
  <si>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DPBS i.v.</t>
    <phoneticPr fontId="1" type="noConversion"/>
  </si>
  <si>
    <t>BMDC i.v.</t>
    <phoneticPr fontId="1" type="noConversion"/>
  </si>
  <si>
    <t>Lysate i.v.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</si>
  <si>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</si>
  <si>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</si>
  <si>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</si>
  <si>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</si>
  <si>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</si>
  <si>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</si>
  <si>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</si>
  <si>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A2.2.X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</si>
  <si>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</si>
  <si>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</si>
  <si>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</si>
  <si>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</si>
  <si>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</si>
  <si>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</si>
  <si>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</si>
  <si>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</si>
  <si>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</si>
  <si>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</si>
  <si>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</si>
  <si>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Antibiotics Corn oil</t>
    <phoneticPr fontId="1" type="noConversion"/>
  </si>
  <si>
    <t>DW Corn oil</t>
    <phoneticPr fontId="1" type="noConversion"/>
  </si>
  <si>
    <t>Antibiotics Tamoxifen</t>
    <phoneticPr fontId="1" type="noConversion"/>
  </si>
  <si>
    <t>DW Tamoxifen</t>
    <phoneticPr fontId="1" type="noConversion"/>
  </si>
  <si>
    <t>Weaned; or Provisino date</t>
  </si>
  <si>
    <t>Tmem119 Cre-ERT2; Cd36 flox</t>
  </si>
  <si>
    <t>Cre/+; f/+</t>
  </si>
  <si>
    <t>LysM Cre; Cd36 flox</t>
  </si>
  <si>
    <t>Tmem119 Cre-ERT2; Cd36 flox</t>
    <phoneticPr fontId="1" type="noConversion"/>
  </si>
  <si>
    <t>Tmem119 Cre-ERT2; Tsg101 flox</t>
  </si>
  <si>
    <t>+/+; f/+</t>
  </si>
  <si>
    <t>Cre/+; +/+</t>
  </si>
  <si>
    <t>+/+; f/f</t>
  </si>
  <si>
    <t>Cre/Cre; f/f</t>
  </si>
  <si>
    <t>Exp. 1-7-1</t>
    <phoneticPr fontId="1" type="noConversion"/>
  </si>
  <si>
    <t>to 정우형</t>
    <phoneticPr fontId="1" type="noConversion"/>
  </si>
  <si>
    <t>SPF</t>
    <phoneticPr fontId="1" type="noConversion"/>
  </si>
  <si>
    <t>A2.3.X</t>
    <phoneticPr fontId="1" type="noConversion"/>
  </si>
  <si>
    <t>SPF</t>
    <phoneticPr fontId="1" type="noConversion"/>
  </si>
  <si>
    <t>A2.4.X</t>
    <phoneticPr fontId="1" type="noConversion"/>
  </si>
  <si>
    <t>A3.B</t>
    <phoneticPr fontId="1" type="noConversion"/>
  </si>
  <si>
    <t>f/+</t>
    <phoneticPr fontId="1" type="noConversion"/>
  </si>
  <si>
    <t>f/+</t>
    <phoneticPr fontId="1" type="noConversion"/>
  </si>
  <si>
    <t>Cd36 flox</t>
    <phoneticPr fontId="1" type="noConversion"/>
  </si>
  <si>
    <t>같이 weaning</t>
    <phoneticPr fontId="1" type="noConversion"/>
  </si>
  <si>
    <t>왼쪽 Tag, 오른쪽 아래 punch</t>
    <phoneticPr fontId="1" type="noConversion"/>
  </si>
  <si>
    <t>오른쪽 tag</t>
    <phoneticPr fontId="1" type="noConversion"/>
  </si>
  <si>
    <t>왼쪽 tag, 오른쪽 위 punch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</si>
</sst>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21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49" fontId="0" fillId="5" borderId="2" xfId="4" applyNumberFormat="1" applyFont="1">
      <alignment vertical="center"/>
    </xf>
    <xf numFmtId="49" fontId="8" fillId="0" borderId="0" xfId="0" applyNumberFormat="1" applyFont="1">
      <alignment vertical="center"/>
    </xf>
    <xf numFmtId="49" fontId="0" fillId="0" borderId="0" xfId="0" applyNumberFormat="1" applyBorder="1">
      <alignment vertical="center"/>
    </xf>
    <xf numFmtId="14" fontId="0" fillId="0" borderId="0" xfId="0" applyNumberFormat="1" applyBorder="1">
      <alignment vertical="center"/>
    </xf>
    <xf numFmtId="0" fontId="2" fillId="0" borderId="0" xfId="0" applyFont="1" applyBorder="1">
      <alignment vertical="center"/>
    </xf>
    <xf numFmtId="0" fontId="3" fillId="0" borderId="0" xfId="0" applyFont="1" applyBorder="1">
      <alignment vertical="center"/>
    </xf>
    <xf numFmtId="0" fontId="0" fillId="0" borderId="0" xfId="0" applyBorder="1">
      <alignment vertical="center"/>
    </xf>
    <xf numFmtId="14" fontId="3" fillId="0" borderId="0" xfId="0" applyNumberFormat="1" applyFont="1" applyBorder="1">
      <alignment vertical="center"/>
    </xf>
    <xf numFmtId="49" fontId="8" fillId="0" borderId="0" xfId="0" applyNumberFormat="1" applyFont="1" applyBorder="1">
      <alignment vertical="center"/>
    </xf>
    <xf numFmtId="0" fontId="0" fillId="0" borderId="0" xfId="0" applyAlignment="1">
      <alignment horizontal="center"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2234266" cy="2416944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81125" y="1428750"/>
          <a:ext cx="2234266" cy="241694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1)</a:t>
          </a:r>
        </a:p>
        <a:p>
          <a:r>
            <a:rPr lang="en-US" altLang="ko-KR" sz="1100" b="1"/>
            <a:t>A2.1.F</a:t>
          </a:r>
          <a:r>
            <a:rPr lang="ko-KR" altLang="en-US" sz="1100" b="1"/>
            <a:t>에서 </a:t>
          </a:r>
          <a:r>
            <a:rPr lang="en-US" altLang="ko-KR" sz="1100" b="1"/>
            <a:t>+/+; f/f female </a:t>
          </a:r>
          <a:r>
            <a:rPr lang="ko-KR" altLang="en-US" sz="1100" b="1"/>
            <a:t>한마리</a:t>
          </a:r>
          <a:endParaRPr lang="en-US" altLang="ko-KR" sz="1100" b="1"/>
        </a:p>
        <a:p>
          <a:r>
            <a:rPr lang="en-US" altLang="ko-KR" sz="1100" b="1"/>
            <a:t>B1.1.M</a:t>
          </a:r>
          <a:r>
            <a:rPr lang="ko-KR" altLang="en-US" sz="1100" b="1"/>
            <a:t>에서 </a:t>
          </a:r>
          <a:r>
            <a:rPr lang="en-US" altLang="ko-KR" sz="1100" b="1"/>
            <a:t>+/+; f/f male </a:t>
          </a:r>
          <a:r>
            <a:rPr lang="ko-KR" altLang="en-US" sz="1100" b="1"/>
            <a:t>한마리</a:t>
          </a:r>
          <a:endParaRPr lang="en-US" altLang="ko-KR" sz="1100" b="1"/>
        </a:p>
        <a:p>
          <a:endParaRPr lang="en-US" altLang="ko-KR" sz="1100" b="1"/>
        </a:p>
        <a:p>
          <a:r>
            <a:rPr lang="en-US" altLang="ko-KR" sz="1100" b="1"/>
            <a:t>2)</a:t>
          </a:r>
        </a:p>
        <a:p>
          <a:r>
            <a:rPr lang="en-US" altLang="ko-KR" sz="1100" b="1"/>
            <a:t>A2.1.F</a:t>
          </a:r>
          <a:r>
            <a:rPr lang="ko-KR" altLang="en-US" sz="1100" b="1"/>
            <a:t>엣 </a:t>
          </a:r>
          <a:r>
            <a:rPr lang="en-US" altLang="ko-KR" sz="1100" b="1"/>
            <a:t>Cre/+; f/f female </a:t>
          </a:r>
          <a:r>
            <a:rPr lang="ko-KR" altLang="en-US" sz="1100" b="1"/>
            <a:t>한마리</a:t>
          </a:r>
          <a:endParaRPr lang="en-US" altLang="ko-KR" sz="1100" b="1"/>
        </a:p>
        <a:p>
          <a:r>
            <a:rPr lang="en-US" altLang="ko-KR" sz="1100" b="1"/>
            <a:t>B1.1.M</a:t>
          </a:r>
          <a:r>
            <a:rPr lang="ko-KR" altLang="en-US" sz="1100" b="1"/>
            <a:t>에서 </a:t>
          </a:r>
          <a:r>
            <a:rPr lang="en-US" altLang="ko-KR" sz="1100" b="1"/>
            <a:t>+/+;</a:t>
          </a:r>
          <a:r>
            <a:rPr lang="en-US" altLang="ko-KR" sz="1100" b="1" baseline="0"/>
            <a:t> </a:t>
          </a:r>
          <a:r>
            <a:rPr lang="en-US" altLang="ko-KR" sz="1100" b="1"/>
            <a:t>f/f male </a:t>
          </a:r>
          <a:r>
            <a:rPr lang="ko-KR" altLang="en-US" sz="1100" b="1"/>
            <a:t>한마리</a:t>
          </a:r>
          <a:endParaRPr lang="en-US" altLang="ko-KR" sz="1100" b="1"/>
        </a:p>
        <a:p>
          <a:endParaRPr lang="en-US" altLang="ko-KR" sz="1100" b="1"/>
        </a:p>
        <a:p>
          <a:r>
            <a:rPr lang="en-US" altLang="ko-KR" sz="1100" b="1"/>
            <a:t>3)</a:t>
          </a:r>
        </a:p>
        <a:p>
          <a:r>
            <a:rPr lang="en-US" altLang="ko-KR" sz="1100" b="1"/>
            <a:t>C1.1.M</a:t>
          </a:r>
          <a:r>
            <a:rPr lang="ko-KR" altLang="en-US" sz="1100" b="1"/>
            <a:t>에서 </a:t>
          </a:r>
          <a:r>
            <a:rPr lang="en-US" altLang="ko-KR" sz="1100" b="1"/>
            <a:t>+/+;</a:t>
          </a:r>
          <a:r>
            <a:rPr lang="en-US" altLang="ko-KR" sz="1100" b="1" baseline="0"/>
            <a:t> f/+ male </a:t>
          </a:r>
          <a:r>
            <a:rPr lang="ko-KR" altLang="en-US" sz="1100" b="1" baseline="0"/>
            <a:t>한마리</a:t>
          </a:r>
          <a:endParaRPr lang="en-US" altLang="ko-KR" sz="1100" b="1" baseline="0"/>
        </a:p>
        <a:p>
          <a:r>
            <a:rPr lang="en-US" altLang="ko-KR" sz="1100" b="1" baseline="0"/>
            <a:t>C1.1.F</a:t>
          </a:r>
          <a:r>
            <a:rPr lang="ko-KR" altLang="en-US" sz="1100" b="1" baseline="0"/>
            <a:t>에서 </a:t>
          </a:r>
          <a:r>
            <a:rPr lang="en-US" altLang="ko-KR" sz="1100" b="1" baseline="0"/>
            <a:t>+/+; f/+ female </a:t>
          </a:r>
          <a:r>
            <a:rPr lang="ko-KR" altLang="en-US" sz="1100" b="1" baseline="0"/>
            <a:t>한마리</a:t>
          </a:r>
          <a:endParaRPr lang="en-US" altLang="ko-KR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Q130"/>
  <sheetViews>
    <sheetView tabSelected="1" workbookViewId="0">
      <pane ySplit="1" topLeftCell="A2" activePane="bottomLeft" state="frozen"/>
      <selection pane="bottomLeft" activeCell="F17" sqref="F17"/>
    </sheetView>
  </sheetViews>
  <sheetFormatPr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11.125" style="2" bestFit="1" customWidth="1"/>
    <col min="8" max="8" width="9" customWidth="1"/>
    <col min="9" max="9" width="9" hidden="1" customWidth="1"/>
    <col min="10" max="10" width="11.125" style="2" bestFit="1" customWidth="1"/>
    <col min="11" max="11" width="8.25" hidden="1" customWidth="1"/>
    <col min="12" max="12" width="6.375" customWidth="1"/>
    <col min="14" max="14" width="13.125" style="2" hidden="1" customWidth="1"/>
    <col min="15" max="15" width="12.75" style="2" customWidth="1"/>
    <col min="16" max="16" width="13.25" hidden="1" customWidth="1"/>
    <col min="17" max="17" width="19.875" customWidth="1"/>
  </cols>
  <sheetData>
    <row r="1" spans="2:17" x14ac:dyDescent="0.3">
      <c r="B1" s="1" t="s">
        <v>4</v>
      </c>
      <c r="C1" s="1" t="s">
        <v>0</v>
      </c>
      <c r="D1" s="1" t="s">
        <v>68</v>
      </c>
      <c r="E1" s="1" t="s">
        <v>6</v>
      </c>
      <c r="F1" s="6" t="s">
        <v>20</v>
      </c>
      <c r="G1" s="3" t="s">
        <v>1</v>
      </c>
      <c r="H1" s="8" t="s">
        <v>2</v>
      </c>
      <c r="I1" s="8" t="s">
        <v>9</v>
      </c>
      <c r="J1" s="3" t="s">
        <v>111</v>
      </c>
      <c r="K1" s="8" t="s">
        <v>14</v>
      </c>
      <c r="L1" s="1" t="s">
        <v>3</v>
      </c>
      <c r="M1" s="1" t="s">
        <v>67</v>
      </c>
      <c r="N1" s="3" t="s">
        <v>18</v>
      </c>
      <c r="O1" s="3" t="s">
        <v>17</v>
      </c>
      <c r="P1" s="1" t="s">
        <v>66</v>
      </c>
      <c r="Q1" s="1" t="s">
        <v>72</v>
      </c>
    </row>
    <row r="2" spans="2:17" hidden="1" x14ac:dyDescent="0.3">
      <c r="B2" t="s">
        <v>5</v>
      </c>
      <c r="C2" t="s">
        <v>112</v>
      </c>
      <c r="E2" t="s">
        <v>8</v>
      </c>
      <c r="F2" s="1" t="s">
        <v>113</v>
      </c>
      <c r="G2" s="2">
        <v>45135</v>
      </c>
      <c r="H2" s="4">
        <f ca="1">IF(QUOTIENT(_xlfn.DAYS(TODAY(),G2), 7)&lt;1000, QUOTIENT(_xlfn.DAYS(TODAY(),G2), 7), "-")</f>
        <v>25</v>
      </c>
      <c r="I2" s="4">
        <f ca="1">IF(_xlfn.DAYS(TODAY(),G2)&lt;10000, _xlfn.DAYS(TODAY(),G2), "-")</f>
        <v>180</v>
      </c>
      <c r="K2" s="4" t="str">
        <f t="shared" ref="K2:K31" si="0">IF(_xlfn.DAYS(J2,G2)&gt;0, _xlfn.DAYS(J2,G2), "-")</f>
        <v>-</v>
      </c>
      <c r="L2" t="s">
        <v>11</v>
      </c>
      <c r="M2" t="s">
        <v>52</v>
      </c>
      <c r="N2" s="7"/>
      <c r="O2" s="7">
        <v>45299</v>
      </c>
    </row>
    <row r="3" spans="2:17" x14ac:dyDescent="0.3">
      <c r="B3" t="s">
        <v>5</v>
      </c>
      <c r="C3" t="s">
        <v>115</v>
      </c>
      <c r="E3" t="s">
        <v>8</v>
      </c>
      <c r="F3" s="10" t="s">
        <v>113</v>
      </c>
      <c r="G3" s="2">
        <v>45135</v>
      </c>
      <c r="H3" s="4">
        <f t="shared" ref="H3:H65" ca="1" si="1">IF(QUOTIENT(_xlfn.DAYS(TODAY(),G3), 7)&lt;1000, QUOTIENT(_xlfn.DAYS(TODAY(),G3), 7), "-")</f>
        <v>25</v>
      </c>
      <c r="I3" s="4">
        <f t="shared" ref="I3:I31" ca="1" si="2">IF(_xlfn.DAYS(TODAY(),G3)&lt;10000, _xlfn.DAYS(TODAY(),G3), "-")</f>
        <v>180</v>
      </c>
      <c r="K3" s="4" t="str">
        <f t="shared" si="0"/>
        <v>-</v>
      </c>
      <c r="L3" t="s">
        <v>13</v>
      </c>
      <c r="M3" s="1" t="s">
        <v>52</v>
      </c>
      <c r="N3" s="7"/>
      <c r="O3" s="7"/>
    </row>
    <row r="4" spans="2:17" x14ac:dyDescent="0.3">
      <c r="B4" t="s">
        <v>5</v>
      </c>
      <c r="C4" t="s">
        <v>112</v>
      </c>
      <c r="E4" t="s">
        <v>8</v>
      </c>
      <c r="F4" s="10" t="s">
        <v>113</v>
      </c>
      <c r="G4" s="2">
        <v>45135</v>
      </c>
      <c r="H4" s="4">
        <f t="shared" ca="1" si="1"/>
        <v>25</v>
      </c>
      <c r="I4" s="4">
        <f t="shared" ca="1" si="2"/>
        <v>180</v>
      </c>
      <c r="K4" s="4" t="str">
        <f t="shared" si="0"/>
        <v>-</v>
      </c>
      <c r="L4" t="s">
        <v>13</v>
      </c>
      <c r="M4" s="1" t="s">
        <v>52</v>
      </c>
      <c r="N4" s="7"/>
      <c r="O4" s="7"/>
    </row>
    <row r="5" spans="2:17" hidden="1" x14ac:dyDescent="0.3">
      <c r="B5" t="s">
        <v>5</v>
      </c>
      <c r="C5" t="s">
        <v>112</v>
      </c>
      <c r="D5">
        <v>871</v>
      </c>
      <c r="E5" t="s">
        <v>16</v>
      </c>
      <c r="F5" s="5" t="s">
        <v>98</v>
      </c>
      <c r="G5" s="2">
        <v>45266</v>
      </c>
      <c r="H5" s="4">
        <f t="shared" ca="1" si="1"/>
        <v>7</v>
      </c>
      <c r="I5" s="4">
        <f t="shared" ca="1" si="2"/>
        <v>49</v>
      </c>
      <c r="J5" s="2">
        <v>45293</v>
      </c>
      <c r="K5" s="4">
        <f t="shared" si="0"/>
        <v>27</v>
      </c>
      <c r="L5" t="s">
        <v>81</v>
      </c>
      <c r="M5" t="s">
        <v>79</v>
      </c>
      <c r="N5" s="7"/>
      <c r="O5" s="7">
        <v>45309</v>
      </c>
    </row>
    <row r="6" spans="2:17" x14ac:dyDescent="0.3">
      <c r="B6" t="s">
        <v>5</v>
      </c>
      <c r="C6" t="s">
        <v>112</v>
      </c>
      <c r="D6">
        <v>686</v>
      </c>
      <c r="E6" s="15" t="s">
        <v>16</v>
      </c>
      <c r="F6" s="13" t="s">
        <v>99</v>
      </c>
      <c r="G6" s="14">
        <v>45266</v>
      </c>
      <c r="H6" s="16">
        <f t="shared" ca="1" si="1"/>
        <v>7</v>
      </c>
      <c r="I6" s="4">
        <f t="shared" ca="1" si="2"/>
        <v>49</v>
      </c>
      <c r="J6" s="14">
        <v>45293</v>
      </c>
      <c r="K6" s="4">
        <f t="shared" si="0"/>
        <v>27</v>
      </c>
      <c r="L6" s="17" t="s">
        <v>81</v>
      </c>
      <c r="M6" s="17" t="s">
        <v>79</v>
      </c>
      <c r="N6" s="7"/>
      <c r="O6" s="18"/>
      <c r="Q6" s="17" t="s">
        <v>132</v>
      </c>
    </row>
    <row r="7" spans="2:17" x14ac:dyDescent="0.3">
      <c r="B7" t="s">
        <v>5</v>
      </c>
      <c r="C7" t="s">
        <v>112</v>
      </c>
      <c r="D7">
        <v>687</v>
      </c>
      <c r="E7" s="15" t="s">
        <v>16</v>
      </c>
      <c r="F7" s="13" t="s">
        <v>101</v>
      </c>
      <c r="G7" s="14">
        <v>45266</v>
      </c>
      <c r="H7" s="16">
        <f t="shared" ca="1" si="1"/>
        <v>7</v>
      </c>
      <c r="I7" s="4">
        <f t="shared" ca="1" si="2"/>
        <v>49</v>
      </c>
      <c r="J7" s="14">
        <v>45293</v>
      </c>
      <c r="K7" s="4">
        <f t="shared" si="0"/>
        <v>27</v>
      </c>
      <c r="L7" s="17" t="s">
        <v>81</v>
      </c>
      <c r="M7" s="17" t="s">
        <v>79</v>
      </c>
      <c r="N7" s="7"/>
      <c r="O7" s="18"/>
      <c r="Q7" s="17" t="s">
        <v>133</v>
      </c>
    </row>
    <row r="8" spans="2:17" x14ac:dyDescent="0.3">
      <c r="B8" t="s">
        <v>5</v>
      </c>
      <c r="C8" t="s">
        <v>112</v>
      </c>
      <c r="D8">
        <v>688</v>
      </c>
      <c r="E8" s="15" t="s">
        <v>15</v>
      </c>
      <c r="F8" s="17" t="s">
        <v>100</v>
      </c>
      <c r="G8" s="14">
        <v>45266</v>
      </c>
      <c r="H8" s="16">
        <f t="shared" ca="1" si="1"/>
        <v>7</v>
      </c>
      <c r="I8" s="4">
        <f t="shared" ca="1" si="2"/>
        <v>49</v>
      </c>
      <c r="J8" s="14">
        <v>45293</v>
      </c>
      <c r="K8" s="4">
        <f t="shared" si="0"/>
        <v>27</v>
      </c>
      <c r="L8" s="17" t="s">
        <v>81</v>
      </c>
      <c r="M8" s="17" t="s">
        <v>79</v>
      </c>
      <c r="N8" s="7"/>
      <c r="O8" s="18"/>
      <c r="Q8" s="17" t="s">
        <v>134</v>
      </c>
    </row>
    <row r="9" spans="2:17" x14ac:dyDescent="0.3">
      <c r="B9" t="s">
        <v>5</v>
      </c>
      <c r="C9" t="s">
        <v>112</v>
      </c>
      <c r="D9">
        <v>921</v>
      </c>
      <c r="E9" t="s">
        <v>15</v>
      </c>
      <c r="F9" s="5" t="s">
        <v>97</v>
      </c>
      <c r="G9" s="2">
        <v>45266</v>
      </c>
      <c r="H9" s="4">
        <f t="shared" ca="1" si="1"/>
        <v>7</v>
      </c>
      <c r="I9" s="4">
        <f t="shared" ca="1" si="2"/>
        <v>49</v>
      </c>
      <c r="J9" s="2">
        <v>45293</v>
      </c>
      <c r="K9" s="4">
        <f t="shared" si="0"/>
        <v>27</v>
      </c>
      <c r="L9" t="s">
        <v>82</v>
      </c>
      <c r="M9" t="s">
        <v>80</v>
      </c>
      <c r="N9" s="7"/>
      <c r="O9" s="7"/>
    </row>
    <row r="10" spans="2:17" hidden="1" x14ac:dyDescent="0.3">
      <c r="B10" t="s">
        <v>5</v>
      </c>
      <c r="C10" t="s">
        <v>112</v>
      </c>
      <c r="D10">
        <v>922</v>
      </c>
      <c r="E10" t="s">
        <v>15</v>
      </c>
      <c r="F10" s="5" t="s">
        <v>98</v>
      </c>
      <c r="G10" s="2">
        <v>45266</v>
      </c>
      <c r="H10" s="4">
        <f t="shared" ca="1" si="1"/>
        <v>7</v>
      </c>
      <c r="I10" s="4">
        <f t="shared" ca="1" si="2"/>
        <v>49</v>
      </c>
      <c r="J10" s="2">
        <v>45293</v>
      </c>
      <c r="K10" s="4">
        <f t="shared" si="0"/>
        <v>27</v>
      </c>
      <c r="L10" t="s">
        <v>82</v>
      </c>
      <c r="M10" t="s">
        <v>80</v>
      </c>
      <c r="N10" s="7"/>
      <c r="O10" s="7">
        <v>45309</v>
      </c>
    </row>
    <row r="11" spans="2:17" hidden="1" x14ac:dyDescent="0.3">
      <c r="B11" t="s">
        <v>5</v>
      </c>
      <c r="C11" t="s">
        <v>112</v>
      </c>
      <c r="D11">
        <v>923</v>
      </c>
      <c r="E11" t="s">
        <v>15</v>
      </c>
      <c r="F11" s="5" t="s">
        <v>99</v>
      </c>
      <c r="G11" s="2">
        <v>45266</v>
      </c>
      <c r="H11" s="4">
        <f t="shared" ca="1" si="1"/>
        <v>7</v>
      </c>
      <c r="I11" s="4">
        <f t="shared" ca="1" si="2"/>
        <v>49</v>
      </c>
      <c r="J11" s="2">
        <v>45293</v>
      </c>
      <c r="K11" s="4">
        <f t="shared" si="0"/>
        <v>27</v>
      </c>
      <c r="L11" t="s">
        <v>82</v>
      </c>
      <c r="M11" t="s">
        <v>80</v>
      </c>
      <c r="N11" s="7"/>
      <c r="O11" s="7">
        <v>45309</v>
      </c>
    </row>
    <row r="12" spans="2:17" hidden="1" x14ac:dyDescent="0.3">
      <c r="B12" t="s">
        <v>5</v>
      </c>
      <c r="C12" t="s">
        <v>112</v>
      </c>
      <c r="E12" t="s">
        <v>7</v>
      </c>
      <c r="F12" s="1" t="s">
        <v>113</v>
      </c>
      <c r="G12" s="2">
        <v>45135</v>
      </c>
      <c r="H12" s="4">
        <f t="shared" ca="1" si="1"/>
        <v>25</v>
      </c>
      <c r="I12" s="4">
        <f t="shared" ca="1" si="2"/>
        <v>180</v>
      </c>
      <c r="K12" s="4" t="str">
        <f t="shared" si="0"/>
        <v>-</v>
      </c>
      <c r="L12" t="s">
        <v>10</v>
      </c>
      <c r="M12" t="s">
        <v>53</v>
      </c>
      <c r="N12" s="7"/>
      <c r="O12" s="7">
        <v>45299</v>
      </c>
    </row>
    <row r="13" spans="2:17" hidden="1" x14ac:dyDescent="0.3">
      <c r="B13" t="s">
        <v>5</v>
      </c>
      <c r="C13" t="s">
        <v>112</v>
      </c>
      <c r="E13" t="s">
        <v>7</v>
      </c>
      <c r="F13" s="1" t="s">
        <v>113</v>
      </c>
      <c r="H13" s="4" t="str">
        <f t="shared" ca="1" si="1"/>
        <v>-</v>
      </c>
      <c r="I13" s="4" t="str">
        <f t="shared" ca="1" si="2"/>
        <v>-</v>
      </c>
      <c r="K13" s="4" t="str">
        <f t="shared" si="0"/>
        <v>-</v>
      </c>
      <c r="L13" t="s">
        <v>12</v>
      </c>
      <c r="M13" t="s">
        <v>53</v>
      </c>
      <c r="N13" s="7"/>
      <c r="O13" s="7">
        <v>45299</v>
      </c>
    </row>
    <row r="14" spans="2:17" hidden="1" x14ac:dyDescent="0.3">
      <c r="B14" t="s">
        <v>5</v>
      </c>
      <c r="C14" t="s">
        <v>112</v>
      </c>
      <c r="E14" t="s">
        <v>7</v>
      </c>
      <c r="F14" s="1" t="s">
        <v>113</v>
      </c>
      <c r="H14" s="4" t="str">
        <f t="shared" ca="1" si="1"/>
        <v>-</v>
      </c>
      <c r="I14" s="4" t="str">
        <f t="shared" ca="1" si="2"/>
        <v>-</v>
      </c>
      <c r="K14" s="4" t="str">
        <f t="shared" si="0"/>
        <v>-</v>
      </c>
      <c r="L14" t="s">
        <v>12</v>
      </c>
      <c r="M14" t="s">
        <v>53</v>
      </c>
      <c r="N14" s="7"/>
      <c r="O14" s="7">
        <v>45299</v>
      </c>
    </row>
    <row r="15" spans="2:17" x14ac:dyDescent="0.3">
      <c r="B15" t="s">
        <v>5</v>
      </c>
      <c r="C15" t="s">
        <v>112</v>
      </c>
      <c r="D15">
        <v>972</v>
      </c>
      <c r="E15" t="s">
        <v>7</v>
      </c>
      <c r="F15" s="5" t="s">
        <v>113</v>
      </c>
      <c r="G15" s="2">
        <v>45047</v>
      </c>
      <c r="H15" s="4">
        <f t="shared" ca="1" si="1"/>
        <v>38</v>
      </c>
      <c r="I15" s="4">
        <f t="shared" ca="1" si="2"/>
        <v>268</v>
      </c>
      <c r="K15" s="4" t="str">
        <f t="shared" si="0"/>
        <v>-</v>
      </c>
      <c r="L15" t="s">
        <v>11</v>
      </c>
      <c r="M15" t="s">
        <v>54</v>
      </c>
      <c r="N15" s="7"/>
      <c r="O15" s="7"/>
    </row>
    <row r="16" spans="2:17" x14ac:dyDescent="0.3">
      <c r="B16" t="s">
        <v>5</v>
      </c>
      <c r="C16" t="s">
        <v>112</v>
      </c>
      <c r="D16">
        <v>973</v>
      </c>
      <c r="E16" t="s">
        <v>7</v>
      </c>
      <c r="F16" s="5" t="s">
        <v>113</v>
      </c>
      <c r="G16" s="2">
        <v>45047</v>
      </c>
      <c r="H16" s="4">
        <f t="shared" ca="1" si="1"/>
        <v>38</v>
      </c>
      <c r="I16" s="4">
        <f t="shared" ca="1" si="2"/>
        <v>268</v>
      </c>
      <c r="K16" s="4" t="str">
        <f t="shared" si="0"/>
        <v>-</v>
      </c>
      <c r="L16" t="s">
        <v>11</v>
      </c>
      <c r="M16" t="s">
        <v>54</v>
      </c>
      <c r="N16" s="7"/>
      <c r="O16" s="7"/>
    </row>
    <row r="17" spans="2:17" x14ac:dyDescent="0.3">
      <c r="B17" t="s">
        <v>5</v>
      </c>
      <c r="C17" t="s">
        <v>112</v>
      </c>
      <c r="D17">
        <v>974</v>
      </c>
      <c r="E17" t="s">
        <v>7</v>
      </c>
      <c r="F17" s="5" t="s">
        <v>113</v>
      </c>
      <c r="G17" s="2">
        <v>45047</v>
      </c>
      <c r="H17" s="4">
        <f t="shared" ca="1" si="1"/>
        <v>38</v>
      </c>
      <c r="I17" s="4">
        <f t="shared" ca="1" si="2"/>
        <v>268</v>
      </c>
      <c r="K17" s="4" t="str">
        <f t="shared" si="0"/>
        <v>-</v>
      </c>
      <c r="L17" t="s">
        <v>11</v>
      </c>
      <c r="M17" t="s">
        <v>54</v>
      </c>
    </row>
    <row r="18" spans="2:17" x14ac:dyDescent="0.3">
      <c r="B18" t="s">
        <v>5</v>
      </c>
      <c r="C18" t="s">
        <v>112</v>
      </c>
      <c r="D18">
        <v>975</v>
      </c>
      <c r="E18" t="s">
        <v>7</v>
      </c>
      <c r="F18" s="10" t="s">
        <v>113</v>
      </c>
      <c r="G18" s="2">
        <v>45047</v>
      </c>
      <c r="H18" s="4">
        <f t="shared" ca="1" si="1"/>
        <v>38</v>
      </c>
      <c r="I18" s="4">
        <f t="shared" ca="1" si="2"/>
        <v>268</v>
      </c>
      <c r="K18" s="4" t="str">
        <f t="shared" si="0"/>
        <v>-</v>
      </c>
      <c r="L18" t="s">
        <v>11</v>
      </c>
      <c r="M18" s="1" t="s">
        <v>127</v>
      </c>
    </row>
    <row r="19" spans="2:17" x14ac:dyDescent="0.3">
      <c r="B19" t="s">
        <v>5</v>
      </c>
      <c r="C19" t="s">
        <v>112</v>
      </c>
      <c r="D19">
        <v>970</v>
      </c>
      <c r="E19" t="s">
        <v>7</v>
      </c>
      <c r="F19" s="5" t="s">
        <v>113</v>
      </c>
      <c r="G19" s="2">
        <v>45047</v>
      </c>
      <c r="H19" s="4">
        <f t="shared" ca="1" si="1"/>
        <v>38</v>
      </c>
      <c r="I19" s="4">
        <f t="shared" ca="1" si="2"/>
        <v>268</v>
      </c>
      <c r="K19" s="4" t="str">
        <f t="shared" si="0"/>
        <v>-</v>
      </c>
      <c r="L19" t="s">
        <v>11</v>
      </c>
      <c r="M19" t="s">
        <v>54</v>
      </c>
    </row>
    <row r="20" spans="2:17" hidden="1" x14ac:dyDescent="0.3">
      <c r="B20" t="s">
        <v>5</v>
      </c>
      <c r="C20" t="s">
        <v>112</v>
      </c>
      <c r="E20" t="s">
        <v>7</v>
      </c>
      <c r="F20" s="1" t="s">
        <v>113</v>
      </c>
      <c r="G20" s="2">
        <v>45091</v>
      </c>
      <c r="H20" s="4">
        <f t="shared" ca="1" si="1"/>
        <v>32</v>
      </c>
      <c r="I20" s="4">
        <f t="shared" ca="1" si="2"/>
        <v>224</v>
      </c>
      <c r="K20" s="4" t="str">
        <f t="shared" si="0"/>
        <v>-</v>
      </c>
      <c r="L20" t="s">
        <v>11</v>
      </c>
      <c r="M20" t="s">
        <v>55</v>
      </c>
      <c r="O20" s="2">
        <v>45299</v>
      </c>
    </row>
    <row r="21" spans="2:17" hidden="1" x14ac:dyDescent="0.3">
      <c r="B21" t="s">
        <v>5</v>
      </c>
      <c r="C21" t="s">
        <v>112</v>
      </c>
      <c r="E21" t="s">
        <v>7</v>
      </c>
      <c r="F21" s="1" t="s">
        <v>117</v>
      </c>
      <c r="H21" s="4" t="str">
        <f t="shared" ca="1" si="1"/>
        <v>-</v>
      </c>
      <c r="I21" s="4" t="str">
        <f t="shared" ca="1" si="2"/>
        <v>-</v>
      </c>
      <c r="K21" s="4" t="str">
        <f t="shared" si="0"/>
        <v>-</v>
      </c>
      <c r="L21" t="s">
        <v>13</v>
      </c>
      <c r="M21" t="s">
        <v>55</v>
      </c>
      <c r="O21" s="2">
        <v>45299</v>
      </c>
    </row>
    <row r="22" spans="2:17" hidden="1" x14ac:dyDescent="0.3">
      <c r="B22" t="s">
        <v>5</v>
      </c>
      <c r="C22" t="s">
        <v>112</v>
      </c>
      <c r="E22" t="s">
        <v>8</v>
      </c>
      <c r="F22" s="10" t="s">
        <v>118</v>
      </c>
      <c r="G22" s="2">
        <v>45115</v>
      </c>
      <c r="H22" s="4">
        <f t="shared" ca="1" si="1"/>
        <v>28</v>
      </c>
      <c r="I22" s="4">
        <f t="shared" ca="1" si="2"/>
        <v>200</v>
      </c>
      <c r="J22" s="2">
        <v>45112</v>
      </c>
      <c r="K22" s="4" t="str">
        <f t="shared" si="0"/>
        <v>-</v>
      </c>
      <c r="L22" t="s">
        <v>13</v>
      </c>
      <c r="M22" t="s">
        <v>56</v>
      </c>
      <c r="O22" s="2">
        <v>45299</v>
      </c>
    </row>
    <row r="23" spans="2:17" hidden="1" x14ac:dyDescent="0.3">
      <c r="B23" t="s">
        <v>5</v>
      </c>
      <c r="C23" t="s">
        <v>21</v>
      </c>
      <c r="E23" t="s">
        <v>7</v>
      </c>
      <c r="F23" s="9" t="s">
        <v>22</v>
      </c>
      <c r="G23" s="2">
        <v>45154</v>
      </c>
      <c r="H23" s="4">
        <f ca="1">IF(QUOTIENT(_xlfn.DAYS(TODAY(),G23), 7)&lt;1000, QUOTIENT(_xlfn.DAYS(TODAY(),G23), 7), "-")</f>
        <v>23</v>
      </c>
      <c r="I23" s="4">
        <f t="shared" ca="1" si="2"/>
        <v>161</v>
      </c>
      <c r="J23" s="2">
        <v>45176</v>
      </c>
      <c r="K23" s="4">
        <f t="shared" si="0"/>
        <v>22</v>
      </c>
      <c r="L23" t="s">
        <v>11</v>
      </c>
      <c r="M23" t="s">
        <v>57</v>
      </c>
      <c r="O23" s="2">
        <v>45306</v>
      </c>
      <c r="Q23" s="2" t="s">
        <v>122</v>
      </c>
    </row>
    <row r="24" spans="2:17" hidden="1" x14ac:dyDescent="0.3">
      <c r="B24" t="s">
        <v>5</v>
      </c>
      <c r="C24" t="s">
        <v>21</v>
      </c>
      <c r="E24" t="s">
        <v>7</v>
      </c>
      <c r="F24" s="9" t="s">
        <v>22</v>
      </c>
      <c r="G24" s="2">
        <v>45154</v>
      </c>
      <c r="H24" s="4">
        <f t="shared" ca="1" si="1"/>
        <v>23</v>
      </c>
      <c r="I24" s="4">
        <f t="shared" ca="1" si="2"/>
        <v>161</v>
      </c>
      <c r="J24" s="2">
        <v>45176</v>
      </c>
      <c r="K24" s="4">
        <f t="shared" si="0"/>
        <v>22</v>
      </c>
      <c r="L24" t="s">
        <v>11</v>
      </c>
      <c r="M24" t="s">
        <v>57</v>
      </c>
      <c r="O24" s="2">
        <v>45306</v>
      </c>
      <c r="Q24" s="2" t="s">
        <v>122</v>
      </c>
    </row>
    <row r="25" spans="2:17" hidden="1" x14ac:dyDescent="0.3">
      <c r="B25" t="s">
        <v>5</v>
      </c>
      <c r="C25" t="s">
        <v>21</v>
      </c>
      <c r="E25" t="s">
        <v>7</v>
      </c>
      <c r="F25" s="11" t="s">
        <v>22</v>
      </c>
      <c r="G25" s="2">
        <v>45154</v>
      </c>
      <c r="H25" s="4">
        <f t="shared" ca="1" si="1"/>
        <v>23</v>
      </c>
      <c r="I25" s="4">
        <f t="shared" ca="1" si="2"/>
        <v>161</v>
      </c>
      <c r="J25" s="2">
        <v>45176</v>
      </c>
      <c r="K25" s="4">
        <f t="shared" si="0"/>
        <v>22</v>
      </c>
      <c r="L25" t="s">
        <v>11</v>
      </c>
      <c r="M25" t="s">
        <v>57</v>
      </c>
      <c r="O25" s="2">
        <v>45306</v>
      </c>
      <c r="Q25" s="2" t="s">
        <v>122</v>
      </c>
    </row>
    <row r="26" spans="2:17" x14ac:dyDescent="0.3">
      <c r="B26" t="s">
        <v>5</v>
      </c>
      <c r="C26" t="s">
        <v>21</v>
      </c>
      <c r="E26" t="s">
        <v>7</v>
      </c>
      <c r="F26" s="5" t="s">
        <v>22</v>
      </c>
      <c r="G26" s="2">
        <v>45154</v>
      </c>
      <c r="H26" s="4">
        <f t="shared" ca="1" si="1"/>
        <v>23</v>
      </c>
      <c r="I26" s="4">
        <f t="shared" ca="1" si="2"/>
        <v>161</v>
      </c>
      <c r="J26" s="2">
        <v>45176</v>
      </c>
      <c r="K26" s="4">
        <f t="shared" si="0"/>
        <v>22</v>
      </c>
      <c r="L26" t="s">
        <v>11</v>
      </c>
      <c r="M26" t="s">
        <v>57</v>
      </c>
      <c r="Q26" s="2"/>
    </row>
    <row r="27" spans="2:17" x14ac:dyDescent="0.3">
      <c r="B27" t="s">
        <v>5</v>
      </c>
      <c r="C27" t="s">
        <v>21</v>
      </c>
      <c r="E27" t="s">
        <v>7</v>
      </c>
      <c r="F27" s="5" t="s">
        <v>22</v>
      </c>
      <c r="G27" s="2">
        <v>45154</v>
      </c>
      <c r="H27" s="4">
        <f t="shared" ca="1" si="1"/>
        <v>23</v>
      </c>
      <c r="I27" s="4">
        <f t="shared" ca="1" si="2"/>
        <v>161</v>
      </c>
      <c r="J27" s="2">
        <v>45176</v>
      </c>
      <c r="K27" s="4">
        <f t="shared" si="0"/>
        <v>22</v>
      </c>
      <c r="L27" t="s">
        <v>11</v>
      </c>
      <c r="M27" t="s">
        <v>57</v>
      </c>
      <c r="Q27" s="2"/>
    </row>
    <row r="28" spans="2:17" hidden="1" x14ac:dyDescent="0.3">
      <c r="B28" t="s">
        <v>5</v>
      </c>
      <c r="C28" t="s">
        <v>21</v>
      </c>
      <c r="E28" s="15" t="s">
        <v>16</v>
      </c>
      <c r="F28" s="13" t="s">
        <v>128</v>
      </c>
      <c r="G28" s="14">
        <v>45203</v>
      </c>
      <c r="H28" s="16">
        <f t="shared" ca="1" si="1"/>
        <v>16</v>
      </c>
      <c r="I28" s="4">
        <f t="shared" ca="1" si="2"/>
        <v>112</v>
      </c>
      <c r="J28" s="14">
        <v>45229</v>
      </c>
      <c r="K28" s="4">
        <f t="shared" si="0"/>
        <v>26</v>
      </c>
      <c r="L28" s="17" t="s">
        <v>11</v>
      </c>
      <c r="M28" s="17" t="s">
        <v>58</v>
      </c>
      <c r="O28" s="14">
        <v>45310</v>
      </c>
      <c r="Q28" s="17"/>
    </row>
    <row r="29" spans="2:17" hidden="1" x14ac:dyDescent="0.3">
      <c r="B29" t="s">
        <v>5</v>
      </c>
      <c r="C29" t="s">
        <v>114</v>
      </c>
      <c r="E29" s="15" t="s">
        <v>16</v>
      </c>
      <c r="F29" s="19" t="s">
        <v>113</v>
      </c>
      <c r="G29" s="14">
        <v>45203</v>
      </c>
      <c r="H29" s="16">
        <f t="shared" ca="1" si="1"/>
        <v>16</v>
      </c>
      <c r="I29" s="4">
        <f t="shared" ca="1" si="2"/>
        <v>112</v>
      </c>
      <c r="J29" s="14">
        <v>45229</v>
      </c>
      <c r="K29" s="4">
        <f t="shared" si="0"/>
        <v>26</v>
      </c>
      <c r="L29" s="17" t="s">
        <v>11</v>
      </c>
      <c r="M29" s="17" t="s">
        <v>58</v>
      </c>
      <c r="O29" s="14">
        <v>45310</v>
      </c>
      <c r="Q29" s="17"/>
    </row>
    <row r="30" spans="2:17" x14ac:dyDescent="0.3">
      <c r="B30" t="s">
        <v>5</v>
      </c>
      <c r="C30" t="s">
        <v>21</v>
      </c>
      <c r="E30" t="s">
        <v>8</v>
      </c>
      <c r="F30" s="10" t="s">
        <v>128</v>
      </c>
      <c r="G30" s="2">
        <v>45203</v>
      </c>
      <c r="H30" s="4">
        <f t="shared" ca="1" si="1"/>
        <v>16</v>
      </c>
      <c r="I30" s="4">
        <f t="shared" ca="1" si="2"/>
        <v>112</v>
      </c>
      <c r="J30" s="2">
        <v>45229</v>
      </c>
      <c r="K30" s="4">
        <f t="shared" si="0"/>
        <v>26</v>
      </c>
      <c r="L30" t="s">
        <v>13</v>
      </c>
      <c r="M30" s="1" t="s">
        <v>127</v>
      </c>
      <c r="Q30" s="2"/>
    </row>
    <row r="31" spans="2:17" x14ac:dyDescent="0.3">
      <c r="B31" t="s">
        <v>5</v>
      </c>
      <c r="C31" t="s">
        <v>21</v>
      </c>
      <c r="E31" t="s">
        <v>8</v>
      </c>
      <c r="F31" s="10" t="s">
        <v>128</v>
      </c>
      <c r="G31" s="2">
        <v>45203</v>
      </c>
      <c r="H31" s="4">
        <f t="shared" ca="1" si="1"/>
        <v>16</v>
      </c>
      <c r="I31" s="4">
        <f t="shared" ca="1" si="2"/>
        <v>112</v>
      </c>
      <c r="J31" s="2">
        <v>45229</v>
      </c>
      <c r="K31" s="4">
        <f t="shared" si="0"/>
        <v>26</v>
      </c>
      <c r="L31" t="s">
        <v>13</v>
      </c>
      <c r="M31" s="1" t="s">
        <v>127</v>
      </c>
      <c r="Q31" s="2"/>
    </row>
    <row r="32" spans="2:17" x14ac:dyDescent="0.3">
      <c r="B32" t="s">
        <v>5</v>
      </c>
      <c r="C32" t="s">
        <v>21</v>
      </c>
      <c r="E32" t="s">
        <v>8</v>
      </c>
      <c r="F32" s="5" t="s">
        <v>128</v>
      </c>
      <c r="G32" s="2">
        <v>45203</v>
      </c>
      <c r="H32" s="4">
        <f t="shared" ca="1" si="1"/>
        <v>16</v>
      </c>
      <c r="I32" s="4">
        <f t="shared" ref="I32:I38" ca="1" si="3">IF(_xlfn.DAYS(TODAY(),G32)&lt;10000, _xlfn.DAYS(TODAY(),G32), "-")</f>
        <v>112</v>
      </c>
      <c r="J32" s="2">
        <v>45229</v>
      </c>
      <c r="K32" s="4">
        <f t="shared" ref="K32:K94" si="4">IF(_xlfn.DAYS(J32,G32)&gt;0, _xlfn.DAYS(J32,G32), "-")</f>
        <v>26</v>
      </c>
      <c r="L32" t="s">
        <v>13</v>
      </c>
      <c r="M32" t="s">
        <v>59</v>
      </c>
      <c r="Q32" s="2"/>
    </row>
    <row r="33" spans="2:17" hidden="1" x14ac:dyDescent="0.3">
      <c r="B33" t="s">
        <v>5</v>
      </c>
      <c r="C33" t="s">
        <v>114</v>
      </c>
      <c r="E33" t="s">
        <v>8</v>
      </c>
      <c r="F33" s="1" t="s">
        <v>118</v>
      </c>
      <c r="H33" s="4" t="str">
        <f t="shared" ca="1" si="1"/>
        <v>-</v>
      </c>
      <c r="I33" s="4" t="str">
        <f t="shared" ca="1" si="3"/>
        <v>-</v>
      </c>
      <c r="K33" s="4" t="str">
        <f t="shared" si="4"/>
        <v>-</v>
      </c>
      <c r="L33" t="s">
        <v>11</v>
      </c>
      <c r="M33" t="s">
        <v>60</v>
      </c>
      <c r="O33" s="2">
        <v>45299</v>
      </c>
    </row>
    <row r="34" spans="2:17" hidden="1" x14ac:dyDescent="0.3">
      <c r="B34" t="s">
        <v>5</v>
      </c>
      <c r="C34" t="s">
        <v>114</v>
      </c>
      <c r="D34" t="s">
        <v>25</v>
      </c>
      <c r="E34" t="s">
        <v>8</v>
      </c>
      <c r="F34" s="1" t="s">
        <v>97</v>
      </c>
      <c r="G34" s="2">
        <v>45231</v>
      </c>
      <c r="H34" s="4">
        <f ca="1">IF(QUOTIENT(_xlfn.DAYS(TODAY(),G34), 7)&lt;1000, QUOTIENT(_xlfn.DAYS(TODAY(),G34), 7), "-")</f>
        <v>12</v>
      </c>
      <c r="I34" s="4">
        <f ca="1">IF(_xlfn.DAYS(TODAY(),G34)&lt;10000, _xlfn.DAYS(TODAY(),G34), "-")</f>
        <v>84</v>
      </c>
      <c r="J34" s="2">
        <v>45257</v>
      </c>
      <c r="K34" s="4">
        <f>IF(_xlfn.DAYS(J34,G34)&gt;0, _xlfn.DAYS(J34,G34), "-")</f>
        <v>26</v>
      </c>
      <c r="L34" t="s">
        <v>11</v>
      </c>
      <c r="M34" t="s">
        <v>106</v>
      </c>
      <c r="O34" s="2">
        <v>45306</v>
      </c>
      <c r="Q34" s="2" t="s">
        <v>122</v>
      </c>
    </row>
    <row r="35" spans="2:17" hidden="1" x14ac:dyDescent="0.3">
      <c r="B35" t="s">
        <v>5</v>
      </c>
      <c r="C35" t="s">
        <v>114</v>
      </c>
      <c r="E35" t="s">
        <v>8</v>
      </c>
      <c r="F35" s="6" t="s">
        <v>119</v>
      </c>
      <c r="H35" s="4" t="str">
        <f t="shared" ca="1" si="1"/>
        <v>-</v>
      </c>
      <c r="I35" s="4" t="str">
        <f t="shared" ca="1" si="3"/>
        <v>-</v>
      </c>
      <c r="K35" s="4" t="str">
        <f t="shared" si="4"/>
        <v>-</v>
      </c>
      <c r="L35" t="s">
        <v>13</v>
      </c>
      <c r="M35" t="s">
        <v>106</v>
      </c>
      <c r="O35" s="2">
        <v>45306</v>
      </c>
      <c r="Q35" s="2" t="s">
        <v>122</v>
      </c>
    </row>
    <row r="36" spans="2:17" hidden="1" x14ac:dyDescent="0.3">
      <c r="B36" t="s">
        <v>5</v>
      </c>
      <c r="C36" t="s">
        <v>114</v>
      </c>
      <c r="E36" t="s">
        <v>8</v>
      </c>
      <c r="F36" s="6" t="s">
        <v>119</v>
      </c>
      <c r="H36" s="4" t="str">
        <f t="shared" ca="1" si="1"/>
        <v>-</v>
      </c>
      <c r="I36" s="4" t="str">
        <f t="shared" ca="1" si="3"/>
        <v>-</v>
      </c>
      <c r="K36" s="4" t="str">
        <f t="shared" si="4"/>
        <v>-</v>
      </c>
      <c r="L36" t="s">
        <v>13</v>
      </c>
      <c r="M36" t="s">
        <v>106</v>
      </c>
      <c r="O36" s="2">
        <v>45306</v>
      </c>
      <c r="Q36" s="2" t="s">
        <v>122</v>
      </c>
    </row>
    <row r="37" spans="2:17" hidden="1" x14ac:dyDescent="0.3">
      <c r="B37" t="s">
        <v>5</v>
      </c>
      <c r="C37" t="s">
        <v>114</v>
      </c>
      <c r="D37" t="s">
        <v>24</v>
      </c>
      <c r="E37" t="s">
        <v>8</v>
      </c>
      <c r="F37" s="5" t="s">
        <v>97</v>
      </c>
      <c r="G37" s="2">
        <v>45231</v>
      </c>
      <c r="H37" s="4">
        <f t="shared" ca="1" si="1"/>
        <v>12</v>
      </c>
      <c r="I37" s="4">
        <f t="shared" ca="1" si="3"/>
        <v>84</v>
      </c>
      <c r="J37" s="2">
        <v>45257</v>
      </c>
      <c r="K37" s="4">
        <f t="shared" si="4"/>
        <v>26</v>
      </c>
      <c r="L37" t="s">
        <v>13</v>
      </c>
      <c r="M37" t="s">
        <v>61</v>
      </c>
      <c r="O37" s="2">
        <v>45306</v>
      </c>
      <c r="Q37" s="2" t="s">
        <v>122</v>
      </c>
    </row>
    <row r="38" spans="2:17" hidden="1" x14ac:dyDescent="0.3">
      <c r="B38" t="s">
        <v>5</v>
      </c>
      <c r="C38" t="s">
        <v>114</v>
      </c>
      <c r="D38" t="s">
        <v>25</v>
      </c>
      <c r="E38" t="s">
        <v>8</v>
      </c>
      <c r="F38" s="5" t="s">
        <v>97</v>
      </c>
      <c r="G38" s="2">
        <v>45231</v>
      </c>
      <c r="H38" s="4">
        <f t="shared" ca="1" si="1"/>
        <v>12</v>
      </c>
      <c r="I38" s="4">
        <f t="shared" ca="1" si="3"/>
        <v>84</v>
      </c>
      <c r="J38" s="2">
        <v>45257</v>
      </c>
      <c r="K38" s="4">
        <f t="shared" si="4"/>
        <v>26</v>
      </c>
      <c r="L38" t="s">
        <v>13</v>
      </c>
      <c r="M38" t="s">
        <v>61</v>
      </c>
      <c r="O38" s="2">
        <v>45306</v>
      </c>
      <c r="Q38" s="2" t="s">
        <v>122</v>
      </c>
    </row>
    <row r="39" spans="2:17" hidden="1" x14ac:dyDescent="0.3">
      <c r="B39" t="s">
        <v>5</v>
      </c>
      <c r="C39" t="s">
        <v>114</v>
      </c>
      <c r="D39" t="s">
        <v>26</v>
      </c>
      <c r="E39" t="s">
        <v>8</v>
      </c>
      <c r="F39" s="5" t="s">
        <v>96</v>
      </c>
      <c r="G39" s="2">
        <v>45231</v>
      </c>
      <c r="H39" s="4">
        <f t="shared" ca="1" si="1"/>
        <v>12</v>
      </c>
      <c r="I39" s="4">
        <f t="shared" ref="I39:I41" ca="1" si="5">IF(_xlfn.DAYS(TODAY(),G39)&lt;10000, _xlfn.DAYS(TODAY(),G39), "-")</f>
        <v>84</v>
      </c>
      <c r="J39" s="2">
        <v>45257</v>
      </c>
      <c r="K39" s="4">
        <f t="shared" si="4"/>
        <v>26</v>
      </c>
      <c r="L39" t="s">
        <v>13</v>
      </c>
      <c r="M39" t="s">
        <v>61</v>
      </c>
      <c r="O39" s="2">
        <v>45306</v>
      </c>
      <c r="Q39" s="2" t="s">
        <v>122</v>
      </c>
    </row>
    <row r="40" spans="2:17" x14ac:dyDescent="0.3">
      <c r="B40" t="s">
        <v>5</v>
      </c>
      <c r="C40" t="s">
        <v>21</v>
      </c>
      <c r="D40" t="s">
        <v>24</v>
      </c>
      <c r="E40" t="s">
        <v>8</v>
      </c>
      <c r="F40" s="5" t="s">
        <v>129</v>
      </c>
      <c r="G40" s="2">
        <v>45231</v>
      </c>
      <c r="H40" s="4">
        <f t="shared" ca="1" si="1"/>
        <v>12</v>
      </c>
      <c r="I40" s="4">
        <f t="shared" ca="1" si="5"/>
        <v>84</v>
      </c>
      <c r="J40" s="2">
        <v>45257</v>
      </c>
      <c r="K40" s="4">
        <f t="shared" si="4"/>
        <v>26</v>
      </c>
      <c r="L40" t="s">
        <v>11</v>
      </c>
      <c r="M40" t="s">
        <v>65</v>
      </c>
    </row>
    <row r="41" spans="2:17" x14ac:dyDescent="0.3">
      <c r="B41" t="s">
        <v>5</v>
      </c>
      <c r="C41" t="s">
        <v>114</v>
      </c>
      <c r="D41" t="s">
        <v>26</v>
      </c>
      <c r="E41" t="s">
        <v>8</v>
      </c>
      <c r="F41" s="12" t="s">
        <v>97</v>
      </c>
      <c r="G41" s="2">
        <v>45231</v>
      </c>
      <c r="H41" s="4">
        <f t="shared" ca="1" si="1"/>
        <v>12</v>
      </c>
      <c r="I41" s="4">
        <f t="shared" ca="1" si="5"/>
        <v>84</v>
      </c>
      <c r="J41" s="2">
        <v>45257</v>
      </c>
      <c r="K41" s="4">
        <f t="shared" si="4"/>
        <v>26</v>
      </c>
      <c r="L41" t="s">
        <v>11</v>
      </c>
      <c r="M41" t="s">
        <v>65</v>
      </c>
    </row>
    <row r="42" spans="2:17" hidden="1" x14ac:dyDescent="0.3">
      <c r="B42" t="s">
        <v>5</v>
      </c>
      <c r="C42" t="s">
        <v>112</v>
      </c>
      <c r="D42">
        <v>798</v>
      </c>
      <c r="E42" t="s">
        <v>8</v>
      </c>
      <c r="F42" s="5" t="s">
        <v>118</v>
      </c>
      <c r="G42" s="2">
        <v>45135</v>
      </c>
      <c r="H42" s="4">
        <f t="shared" ca="1" si="1"/>
        <v>25</v>
      </c>
      <c r="I42" s="4">
        <f t="shared" ref="I42" ca="1" si="6">IF(_xlfn.DAYS(TODAY(),G42)&lt;10000, _xlfn.DAYS(TODAY(),G42), "-")</f>
        <v>180</v>
      </c>
      <c r="K42" s="4" t="str">
        <f t="shared" si="4"/>
        <v>-</v>
      </c>
      <c r="L42" t="s">
        <v>13</v>
      </c>
      <c r="M42" t="s">
        <v>19</v>
      </c>
      <c r="O42" s="7">
        <v>45309</v>
      </c>
    </row>
    <row r="43" spans="2:17" x14ac:dyDescent="0.3">
      <c r="B43" t="s">
        <v>5</v>
      </c>
      <c r="C43" t="s">
        <v>112</v>
      </c>
      <c r="D43">
        <v>799</v>
      </c>
      <c r="E43" t="s">
        <v>8</v>
      </c>
      <c r="F43" s="5" t="s">
        <v>113</v>
      </c>
      <c r="G43" s="2">
        <v>45135</v>
      </c>
      <c r="H43" s="4">
        <f t="shared" ca="1" si="1"/>
        <v>25</v>
      </c>
      <c r="I43" s="4">
        <f t="shared" ref="I43:I91" ca="1" si="7">IF(_xlfn.DAYS(TODAY(),G43)&lt;10000, _xlfn.DAYS(TODAY(),G43), "-")</f>
        <v>180</v>
      </c>
      <c r="K43" s="4" t="str">
        <f t="shared" si="4"/>
        <v>-</v>
      </c>
      <c r="L43" t="s">
        <v>13</v>
      </c>
      <c r="M43" t="s">
        <v>19</v>
      </c>
    </row>
    <row r="44" spans="2:17" hidden="1" x14ac:dyDescent="0.3">
      <c r="B44" t="s">
        <v>5</v>
      </c>
      <c r="C44" t="s">
        <v>114</v>
      </c>
      <c r="D44">
        <v>815</v>
      </c>
      <c r="E44" t="s">
        <v>8</v>
      </c>
      <c r="F44" s="11" t="s">
        <v>97</v>
      </c>
      <c r="G44" s="2">
        <v>45267</v>
      </c>
      <c r="H44" s="4">
        <f t="shared" ca="1" si="1"/>
        <v>6</v>
      </c>
      <c r="I44" s="4">
        <f t="shared" ca="1" si="7"/>
        <v>48</v>
      </c>
      <c r="J44" s="2">
        <v>45293</v>
      </c>
      <c r="K44" s="4">
        <f t="shared" si="4"/>
        <v>26</v>
      </c>
      <c r="L44" t="s">
        <v>81</v>
      </c>
      <c r="M44" t="s">
        <v>83</v>
      </c>
      <c r="O44" s="7">
        <v>45309</v>
      </c>
    </row>
    <row r="45" spans="2:17" hidden="1" x14ac:dyDescent="0.3">
      <c r="B45" t="s">
        <v>5</v>
      </c>
      <c r="C45" t="s">
        <v>114</v>
      </c>
      <c r="D45">
        <v>816</v>
      </c>
      <c r="E45" t="s">
        <v>8</v>
      </c>
      <c r="F45" s="11" t="s">
        <v>97</v>
      </c>
      <c r="G45" s="2">
        <v>45267</v>
      </c>
      <c r="H45" s="4">
        <f t="shared" ca="1" si="1"/>
        <v>6</v>
      </c>
      <c r="I45" s="4">
        <f t="shared" ca="1" si="7"/>
        <v>48</v>
      </c>
      <c r="J45" s="2">
        <v>45293</v>
      </c>
      <c r="K45" s="4">
        <f t="shared" si="4"/>
        <v>26</v>
      </c>
      <c r="L45" t="s">
        <v>81</v>
      </c>
      <c r="M45" t="s">
        <v>83</v>
      </c>
      <c r="O45" s="7">
        <v>45309</v>
      </c>
    </row>
    <row r="46" spans="2:17" hidden="1" x14ac:dyDescent="0.3">
      <c r="B46" t="s">
        <v>5</v>
      </c>
      <c r="C46" t="s">
        <v>114</v>
      </c>
      <c r="D46">
        <v>817</v>
      </c>
      <c r="E46" t="s">
        <v>8</v>
      </c>
      <c r="F46" s="5" t="s">
        <v>96</v>
      </c>
      <c r="G46" s="2">
        <v>45267</v>
      </c>
      <c r="H46" s="4">
        <f t="shared" ca="1" si="1"/>
        <v>6</v>
      </c>
      <c r="I46" s="4">
        <f t="shared" ca="1" si="7"/>
        <v>48</v>
      </c>
      <c r="J46" s="2">
        <v>45293</v>
      </c>
      <c r="K46" s="4">
        <f t="shared" si="4"/>
        <v>26</v>
      </c>
      <c r="L46" t="s">
        <v>81</v>
      </c>
      <c r="M46" t="s">
        <v>83</v>
      </c>
      <c r="O46" s="2">
        <v>45306</v>
      </c>
      <c r="Q46" s="2" t="s">
        <v>122</v>
      </c>
    </row>
    <row r="47" spans="2:17" hidden="1" x14ac:dyDescent="0.3">
      <c r="B47" t="s">
        <v>5</v>
      </c>
      <c r="C47" t="s">
        <v>114</v>
      </c>
      <c r="D47">
        <v>819</v>
      </c>
      <c r="E47" t="s">
        <v>8</v>
      </c>
      <c r="F47" s="5" t="s">
        <v>96</v>
      </c>
      <c r="G47" s="2">
        <v>45267</v>
      </c>
      <c r="H47" s="4">
        <f t="shared" ca="1" si="1"/>
        <v>6</v>
      </c>
      <c r="I47" s="4">
        <f t="shared" ca="1" si="7"/>
        <v>48</v>
      </c>
      <c r="J47" s="2">
        <v>45293</v>
      </c>
      <c r="K47" s="4">
        <f t="shared" si="4"/>
        <v>26</v>
      </c>
      <c r="L47" t="s">
        <v>81</v>
      </c>
      <c r="M47" t="s">
        <v>83</v>
      </c>
      <c r="O47" s="2">
        <v>45306</v>
      </c>
      <c r="Q47" s="2" t="s">
        <v>122</v>
      </c>
    </row>
    <row r="48" spans="2:17" hidden="1" x14ac:dyDescent="0.3">
      <c r="B48" t="s">
        <v>5</v>
      </c>
      <c r="C48" t="s">
        <v>114</v>
      </c>
      <c r="D48">
        <v>820</v>
      </c>
      <c r="E48" t="s">
        <v>8</v>
      </c>
      <c r="F48" s="5" t="s">
        <v>96</v>
      </c>
      <c r="G48" s="2">
        <v>45271</v>
      </c>
      <c r="H48" s="4">
        <f t="shared" ca="1" si="1"/>
        <v>6</v>
      </c>
      <c r="I48" s="4">
        <f t="shared" ca="1" si="7"/>
        <v>44</v>
      </c>
      <c r="J48" s="2">
        <v>45293</v>
      </c>
      <c r="K48" s="4">
        <f t="shared" si="4"/>
        <v>22</v>
      </c>
      <c r="L48" t="s">
        <v>81</v>
      </c>
      <c r="M48" t="s">
        <v>83</v>
      </c>
      <c r="O48" s="2">
        <v>45306</v>
      </c>
      <c r="Q48" s="2" t="s">
        <v>122</v>
      </c>
    </row>
    <row r="49" spans="2:15" x14ac:dyDescent="0.3">
      <c r="B49" t="s">
        <v>5</v>
      </c>
      <c r="C49" t="s">
        <v>130</v>
      </c>
      <c r="D49">
        <v>821</v>
      </c>
      <c r="E49" t="s">
        <v>8</v>
      </c>
      <c r="F49" s="5" t="s">
        <v>128</v>
      </c>
      <c r="G49" s="2">
        <v>45267</v>
      </c>
      <c r="H49" s="4">
        <f t="shared" ca="1" si="1"/>
        <v>6</v>
      </c>
      <c r="I49" s="4">
        <f t="shared" ca="1" si="7"/>
        <v>48</v>
      </c>
      <c r="J49" s="2">
        <v>45293</v>
      </c>
      <c r="K49" s="4">
        <f t="shared" si="4"/>
        <v>26</v>
      </c>
      <c r="L49" t="s">
        <v>82</v>
      </c>
      <c r="M49" t="s">
        <v>84</v>
      </c>
    </row>
    <row r="50" spans="2:15" x14ac:dyDescent="0.3">
      <c r="B50" t="s">
        <v>5</v>
      </c>
      <c r="C50" t="s">
        <v>130</v>
      </c>
      <c r="D50">
        <v>822</v>
      </c>
      <c r="E50" t="s">
        <v>8</v>
      </c>
      <c r="F50" s="5" t="s">
        <v>128</v>
      </c>
      <c r="G50" s="2">
        <v>45267</v>
      </c>
      <c r="H50" s="4">
        <f t="shared" ca="1" si="1"/>
        <v>6</v>
      </c>
      <c r="I50" s="4">
        <f t="shared" ca="1" si="7"/>
        <v>48</v>
      </c>
      <c r="J50" s="2">
        <v>45293</v>
      </c>
      <c r="K50" s="4">
        <f t="shared" si="4"/>
        <v>26</v>
      </c>
      <c r="L50" t="s">
        <v>82</v>
      </c>
      <c r="M50" t="s">
        <v>84</v>
      </c>
    </row>
    <row r="51" spans="2:15" hidden="1" x14ac:dyDescent="0.3">
      <c r="B51" t="s">
        <v>5</v>
      </c>
      <c r="C51" t="s">
        <v>114</v>
      </c>
      <c r="D51">
        <v>823</v>
      </c>
      <c r="E51" t="s">
        <v>8</v>
      </c>
      <c r="F51" s="5" t="s">
        <v>97</v>
      </c>
      <c r="G51" s="2">
        <v>45267</v>
      </c>
      <c r="H51" s="4">
        <f t="shared" ca="1" si="1"/>
        <v>6</v>
      </c>
      <c r="I51" s="4">
        <f t="shared" ca="1" si="7"/>
        <v>48</v>
      </c>
      <c r="J51" s="2">
        <v>45293</v>
      </c>
      <c r="K51" s="4">
        <f t="shared" si="4"/>
        <v>26</v>
      </c>
      <c r="L51" t="s">
        <v>82</v>
      </c>
      <c r="M51" t="s">
        <v>84</v>
      </c>
      <c r="O51" s="7">
        <v>45309</v>
      </c>
    </row>
    <row r="52" spans="2:15" hidden="1" x14ac:dyDescent="0.3">
      <c r="B52" t="s">
        <v>5</v>
      </c>
      <c r="C52" t="s">
        <v>114</v>
      </c>
      <c r="D52">
        <v>824</v>
      </c>
      <c r="E52" t="s">
        <v>8</v>
      </c>
      <c r="F52" s="5" t="s">
        <v>97</v>
      </c>
      <c r="G52" s="2">
        <v>45271</v>
      </c>
      <c r="H52" s="4">
        <f t="shared" ca="1" si="1"/>
        <v>6</v>
      </c>
      <c r="I52" s="4">
        <f t="shared" ca="1" si="7"/>
        <v>44</v>
      </c>
      <c r="J52" s="2">
        <v>45293</v>
      </c>
      <c r="K52" s="4">
        <f t="shared" si="4"/>
        <v>22</v>
      </c>
      <c r="L52" t="s">
        <v>82</v>
      </c>
      <c r="M52" t="s">
        <v>84</v>
      </c>
      <c r="O52" s="7">
        <v>45309</v>
      </c>
    </row>
    <row r="53" spans="2:15" x14ac:dyDescent="0.3">
      <c r="B53" t="s">
        <v>5</v>
      </c>
      <c r="C53" t="s">
        <v>130</v>
      </c>
      <c r="D53">
        <v>825</v>
      </c>
      <c r="E53" t="s">
        <v>8</v>
      </c>
      <c r="F53" s="5" t="s">
        <v>128</v>
      </c>
      <c r="G53" s="2">
        <v>45271</v>
      </c>
      <c r="H53" s="4">
        <f t="shared" ca="1" si="1"/>
        <v>6</v>
      </c>
      <c r="I53" s="4">
        <f t="shared" ca="1" si="7"/>
        <v>44</v>
      </c>
      <c r="J53" s="2">
        <v>45293</v>
      </c>
      <c r="K53" s="4">
        <f t="shared" si="4"/>
        <v>22</v>
      </c>
      <c r="L53" t="s">
        <v>82</v>
      </c>
      <c r="M53" t="s">
        <v>84</v>
      </c>
    </row>
    <row r="54" spans="2:15" hidden="1" x14ac:dyDescent="0.3">
      <c r="B54" t="s">
        <v>28</v>
      </c>
      <c r="C54" t="s">
        <v>116</v>
      </c>
      <c r="D54" t="s">
        <v>29</v>
      </c>
      <c r="E54" t="s">
        <v>32</v>
      </c>
      <c r="F54" s="5" t="s">
        <v>120</v>
      </c>
      <c r="G54" s="2">
        <v>45208</v>
      </c>
      <c r="H54" s="4">
        <f t="shared" ca="1" si="1"/>
        <v>15</v>
      </c>
      <c r="I54" s="4">
        <f t="shared" ca="1" si="7"/>
        <v>107</v>
      </c>
      <c r="J54" s="2">
        <v>45238</v>
      </c>
      <c r="K54" s="4">
        <f t="shared" si="4"/>
        <v>30</v>
      </c>
      <c r="L54" t="s">
        <v>33</v>
      </c>
      <c r="M54" t="s">
        <v>45</v>
      </c>
    </row>
    <row r="55" spans="2:15" hidden="1" x14ac:dyDescent="0.3">
      <c r="B55" t="s">
        <v>28</v>
      </c>
      <c r="C55" t="s">
        <v>116</v>
      </c>
      <c r="D55" t="s">
        <v>31</v>
      </c>
      <c r="E55" t="s">
        <v>32</v>
      </c>
      <c r="F55" s="5" t="s">
        <v>120</v>
      </c>
      <c r="G55" s="2">
        <v>45208</v>
      </c>
      <c r="H55" s="4">
        <f t="shared" ca="1" si="1"/>
        <v>15</v>
      </c>
      <c r="I55" s="4">
        <f t="shared" ca="1" si="7"/>
        <v>107</v>
      </c>
      <c r="J55" s="2">
        <v>45238</v>
      </c>
      <c r="K55" s="4">
        <f t="shared" si="4"/>
        <v>30</v>
      </c>
      <c r="L55" t="s">
        <v>33</v>
      </c>
      <c r="M55" t="s">
        <v>45</v>
      </c>
    </row>
    <row r="56" spans="2:15" hidden="1" x14ac:dyDescent="0.3">
      <c r="B56" t="s">
        <v>28</v>
      </c>
      <c r="C56" t="s">
        <v>116</v>
      </c>
      <c r="D56" t="s">
        <v>30</v>
      </c>
      <c r="E56" t="s">
        <v>32</v>
      </c>
      <c r="F56" s="5" t="s">
        <v>120</v>
      </c>
      <c r="G56" s="2">
        <v>45208</v>
      </c>
      <c r="H56" s="4">
        <f t="shared" ca="1" si="1"/>
        <v>15</v>
      </c>
      <c r="I56" s="4">
        <f t="shared" ca="1" si="7"/>
        <v>107</v>
      </c>
      <c r="J56" s="2">
        <v>45238</v>
      </c>
      <c r="K56" s="4">
        <f t="shared" si="4"/>
        <v>30</v>
      </c>
      <c r="L56" t="s">
        <v>33</v>
      </c>
      <c r="M56" t="s">
        <v>45</v>
      </c>
    </row>
    <row r="57" spans="2:15" hidden="1" x14ac:dyDescent="0.3">
      <c r="B57" t="s">
        <v>28</v>
      </c>
      <c r="C57" t="s">
        <v>116</v>
      </c>
      <c r="E57" t="s">
        <v>32</v>
      </c>
      <c r="F57" s="6" t="s">
        <v>120</v>
      </c>
      <c r="G57" s="2">
        <v>45000</v>
      </c>
      <c r="H57" s="4">
        <f t="shared" ca="1" si="1"/>
        <v>45</v>
      </c>
      <c r="I57" s="4">
        <f t="shared" ca="1" si="7"/>
        <v>315</v>
      </c>
      <c r="K57" s="4" t="str">
        <f t="shared" si="4"/>
        <v>-</v>
      </c>
      <c r="L57" t="s">
        <v>34</v>
      </c>
      <c r="M57" t="s">
        <v>46</v>
      </c>
    </row>
    <row r="58" spans="2:15" hidden="1" x14ac:dyDescent="0.3">
      <c r="B58" t="s">
        <v>28</v>
      </c>
      <c r="C58" t="s">
        <v>116</v>
      </c>
      <c r="E58" t="s">
        <v>32</v>
      </c>
      <c r="F58" s="6" t="s">
        <v>120</v>
      </c>
      <c r="G58" s="2">
        <v>45000</v>
      </c>
      <c r="H58" s="4">
        <f t="shared" ca="1" si="1"/>
        <v>45</v>
      </c>
      <c r="I58" s="4">
        <f t="shared" ca="1" si="7"/>
        <v>315</v>
      </c>
      <c r="K58" s="4" t="str">
        <f t="shared" si="4"/>
        <v>-</v>
      </c>
      <c r="L58" t="s">
        <v>33</v>
      </c>
      <c r="M58" t="s">
        <v>46</v>
      </c>
    </row>
    <row r="59" spans="2:15" hidden="1" x14ac:dyDescent="0.3">
      <c r="B59" t="s">
        <v>28</v>
      </c>
      <c r="C59" t="s">
        <v>116</v>
      </c>
      <c r="E59" t="s">
        <v>27</v>
      </c>
      <c r="G59" s="2">
        <v>45267</v>
      </c>
      <c r="H59" s="4">
        <f t="shared" ca="1" si="1"/>
        <v>6</v>
      </c>
      <c r="I59" s="4">
        <f t="shared" ca="1" si="7"/>
        <v>48</v>
      </c>
      <c r="J59" s="2">
        <v>45295</v>
      </c>
      <c r="K59" s="4">
        <f t="shared" si="4"/>
        <v>28</v>
      </c>
      <c r="L59" t="s">
        <v>102</v>
      </c>
      <c r="M59" s="4" t="s">
        <v>104</v>
      </c>
    </row>
    <row r="60" spans="2:15" hidden="1" x14ac:dyDescent="0.3">
      <c r="B60" t="s">
        <v>28</v>
      </c>
      <c r="C60" t="s">
        <v>116</v>
      </c>
      <c r="E60" t="s">
        <v>27</v>
      </c>
      <c r="G60" s="2">
        <v>45267</v>
      </c>
      <c r="H60" s="4">
        <f t="shared" ca="1" si="1"/>
        <v>6</v>
      </c>
      <c r="I60" s="4">
        <f t="shared" ca="1" si="7"/>
        <v>48</v>
      </c>
      <c r="J60" s="2">
        <v>45295</v>
      </c>
      <c r="K60" s="4">
        <f t="shared" si="4"/>
        <v>28</v>
      </c>
      <c r="L60" t="s">
        <v>102</v>
      </c>
      <c r="M60" s="4" t="s">
        <v>104</v>
      </c>
    </row>
    <row r="61" spans="2:15" hidden="1" x14ac:dyDescent="0.3">
      <c r="B61" t="s">
        <v>28</v>
      </c>
      <c r="C61" t="s">
        <v>116</v>
      </c>
      <c r="E61" t="s">
        <v>27</v>
      </c>
      <c r="G61" s="2">
        <v>45267</v>
      </c>
      <c r="H61" s="4">
        <f t="shared" ca="1" si="1"/>
        <v>6</v>
      </c>
      <c r="I61" s="4">
        <f t="shared" ca="1" si="7"/>
        <v>48</v>
      </c>
      <c r="J61" s="2">
        <v>45295</v>
      </c>
      <c r="K61" s="4">
        <f t="shared" si="4"/>
        <v>28</v>
      </c>
      <c r="L61" t="s">
        <v>102</v>
      </c>
      <c r="M61" s="4" t="s">
        <v>104</v>
      </c>
    </row>
    <row r="62" spans="2:15" hidden="1" x14ac:dyDescent="0.3">
      <c r="B62" t="s">
        <v>28</v>
      </c>
      <c r="C62" t="s">
        <v>116</v>
      </c>
      <c r="E62" t="s">
        <v>27</v>
      </c>
      <c r="G62" s="2">
        <v>45267</v>
      </c>
      <c r="H62" s="4">
        <f t="shared" ca="1" si="1"/>
        <v>6</v>
      </c>
      <c r="I62" s="4">
        <f t="shared" ca="1" si="7"/>
        <v>48</v>
      </c>
      <c r="J62" s="2">
        <v>45295</v>
      </c>
      <c r="K62" s="4">
        <f t="shared" si="4"/>
        <v>28</v>
      </c>
      <c r="L62" t="s">
        <v>102</v>
      </c>
      <c r="M62" s="4" t="s">
        <v>104</v>
      </c>
    </row>
    <row r="63" spans="2:15" hidden="1" x14ac:dyDescent="0.3">
      <c r="B63" t="s">
        <v>28</v>
      </c>
      <c r="C63" t="s">
        <v>116</v>
      </c>
      <c r="E63" t="s">
        <v>27</v>
      </c>
      <c r="G63" s="2">
        <v>45267</v>
      </c>
      <c r="H63" s="4">
        <f t="shared" ca="1" si="1"/>
        <v>6</v>
      </c>
      <c r="I63" s="4">
        <f t="shared" ca="1" si="7"/>
        <v>48</v>
      </c>
      <c r="J63" s="2">
        <v>45295</v>
      </c>
      <c r="K63" s="4">
        <f t="shared" si="4"/>
        <v>28</v>
      </c>
      <c r="L63" t="s">
        <v>103</v>
      </c>
      <c r="M63" t="s">
        <v>105</v>
      </c>
    </row>
    <row r="64" spans="2:15" hidden="1" x14ac:dyDescent="0.3">
      <c r="B64" t="s">
        <v>28</v>
      </c>
      <c r="C64" t="s">
        <v>116</v>
      </c>
      <c r="E64" t="s">
        <v>27</v>
      </c>
      <c r="G64" s="2">
        <v>45267</v>
      </c>
      <c r="H64" s="4">
        <f t="shared" ca="1" si="1"/>
        <v>6</v>
      </c>
      <c r="I64" s="4">
        <f t="shared" ca="1" si="7"/>
        <v>48</v>
      </c>
      <c r="J64" s="2">
        <v>45295</v>
      </c>
      <c r="K64" s="4">
        <f t="shared" si="4"/>
        <v>28</v>
      </c>
      <c r="L64" t="s">
        <v>103</v>
      </c>
      <c r="M64" t="s">
        <v>105</v>
      </c>
    </row>
    <row r="65" spans="2:17" hidden="1" x14ac:dyDescent="0.3">
      <c r="B65" t="s">
        <v>28</v>
      </c>
      <c r="C65" t="s">
        <v>116</v>
      </c>
      <c r="E65" t="s">
        <v>32</v>
      </c>
      <c r="F65" s="6" t="s">
        <v>120</v>
      </c>
      <c r="G65" s="2">
        <v>45000</v>
      </c>
      <c r="H65" s="4">
        <f t="shared" ca="1" si="1"/>
        <v>45</v>
      </c>
      <c r="I65" s="4">
        <f t="shared" ca="1" si="7"/>
        <v>315</v>
      </c>
      <c r="K65" s="4" t="str">
        <f t="shared" si="4"/>
        <v>-</v>
      </c>
      <c r="L65" t="s">
        <v>33</v>
      </c>
      <c r="M65" t="s">
        <v>47</v>
      </c>
    </row>
    <row r="66" spans="2:17" hidden="1" x14ac:dyDescent="0.3">
      <c r="B66" t="s">
        <v>28</v>
      </c>
      <c r="C66" t="s">
        <v>116</v>
      </c>
      <c r="E66" t="s">
        <v>32</v>
      </c>
      <c r="F66" s="6" t="s">
        <v>120</v>
      </c>
      <c r="G66" s="2">
        <v>45000</v>
      </c>
      <c r="H66" s="4">
        <f t="shared" ref="H66:H91" ca="1" si="8">IF(QUOTIENT(_xlfn.DAYS(TODAY(),G66), 7)&lt;1000, QUOTIENT(_xlfn.DAYS(TODAY(),G66), 7), "-")</f>
        <v>45</v>
      </c>
      <c r="I66" s="4">
        <f t="shared" ca="1" si="7"/>
        <v>315</v>
      </c>
      <c r="K66" s="4" t="str">
        <f t="shared" si="4"/>
        <v>-</v>
      </c>
      <c r="L66" t="s">
        <v>33</v>
      </c>
      <c r="M66" t="s">
        <v>47</v>
      </c>
    </row>
    <row r="67" spans="2:17" hidden="1" x14ac:dyDescent="0.3">
      <c r="B67" t="s">
        <v>28</v>
      </c>
      <c r="C67" t="s">
        <v>64</v>
      </c>
      <c r="D67" t="s">
        <v>37</v>
      </c>
      <c r="E67" t="s">
        <v>8</v>
      </c>
      <c r="F67" s="5" t="s">
        <v>62</v>
      </c>
      <c r="G67" s="2">
        <v>45182</v>
      </c>
      <c r="H67" s="4">
        <f t="shared" ca="1" si="8"/>
        <v>19</v>
      </c>
      <c r="I67" s="4">
        <f t="shared" ca="1" si="7"/>
        <v>133</v>
      </c>
      <c r="K67" s="4" t="str">
        <f t="shared" si="4"/>
        <v>-</v>
      </c>
      <c r="L67" t="s">
        <v>34</v>
      </c>
      <c r="M67" t="s">
        <v>40</v>
      </c>
      <c r="N67" s="2">
        <v>45212</v>
      </c>
      <c r="O67" s="2">
        <v>45278</v>
      </c>
      <c r="P67" t="s">
        <v>76</v>
      </c>
      <c r="Q67" t="s">
        <v>38</v>
      </c>
    </row>
    <row r="68" spans="2:17" hidden="1" x14ac:dyDescent="0.3">
      <c r="B68" t="s">
        <v>28</v>
      </c>
      <c r="C68" t="s">
        <v>64</v>
      </c>
      <c r="D68" t="s">
        <v>29</v>
      </c>
      <c r="E68" t="s">
        <v>8</v>
      </c>
      <c r="F68" s="5" t="s">
        <v>62</v>
      </c>
      <c r="G68" s="2">
        <v>45182</v>
      </c>
      <c r="H68" s="4">
        <f t="shared" ca="1" si="8"/>
        <v>19</v>
      </c>
      <c r="I68" s="4">
        <f t="shared" ca="1" si="7"/>
        <v>133</v>
      </c>
      <c r="K68" s="4" t="str">
        <f t="shared" si="4"/>
        <v>-</v>
      </c>
      <c r="L68" t="s">
        <v>34</v>
      </c>
      <c r="M68" t="s">
        <v>40</v>
      </c>
      <c r="N68" s="2">
        <v>45212</v>
      </c>
      <c r="O68" s="2">
        <v>45278</v>
      </c>
      <c r="P68" t="s">
        <v>76</v>
      </c>
      <c r="Q68" t="s">
        <v>38</v>
      </c>
    </row>
    <row r="69" spans="2:17" hidden="1" x14ac:dyDescent="0.3">
      <c r="B69" t="s">
        <v>28</v>
      </c>
      <c r="C69" t="s">
        <v>64</v>
      </c>
      <c r="D69" t="s">
        <v>31</v>
      </c>
      <c r="E69" t="s">
        <v>8</v>
      </c>
      <c r="F69" s="5" t="s">
        <v>62</v>
      </c>
      <c r="G69" s="2">
        <v>45182</v>
      </c>
      <c r="H69" s="4">
        <f t="shared" ca="1" si="8"/>
        <v>19</v>
      </c>
      <c r="I69" s="4">
        <f t="shared" ca="1" si="7"/>
        <v>133</v>
      </c>
      <c r="K69" s="4" t="str">
        <f t="shared" si="4"/>
        <v>-</v>
      </c>
      <c r="L69" t="s">
        <v>34</v>
      </c>
      <c r="M69" t="s">
        <v>40</v>
      </c>
      <c r="N69" s="2">
        <v>45212</v>
      </c>
      <c r="O69" s="2">
        <v>45278</v>
      </c>
      <c r="P69" t="s">
        <v>76</v>
      </c>
      <c r="Q69" t="s">
        <v>38</v>
      </c>
    </row>
    <row r="70" spans="2:17" hidden="1" x14ac:dyDescent="0.3">
      <c r="B70" t="s">
        <v>35</v>
      </c>
      <c r="C70" t="s">
        <v>64</v>
      </c>
      <c r="D70" t="s">
        <v>30</v>
      </c>
      <c r="E70" t="s">
        <v>8</v>
      </c>
      <c r="F70" s="5" t="s">
        <v>62</v>
      </c>
      <c r="G70" s="2">
        <v>45182</v>
      </c>
      <c r="H70" s="4">
        <f t="shared" ca="1" si="8"/>
        <v>19</v>
      </c>
      <c r="I70" s="4">
        <f t="shared" ca="1" si="7"/>
        <v>133</v>
      </c>
      <c r="K70" s="4" t="str">
        <f t="shared" si="4"/>
        <v>-</v>
      </c>
      <c r="L70" t="s">
        <v>34</v>
      </c>
      <c r="M70" t="s">
        <v>40</v>
      </c>
      <c r="N70" s="2">
        <v>45212</v>
      </c>
      <c r="O70" s="2">
        <v>45278</v>
      </c>
      <c r="P70" t="s">
        <v>76</v>
      </c>
      <c r="Q70" t="s">
        <v>38</v>
      </c>
    </row>
    <row r="71" spans="2:17" hidden="1" x14ac:dyDescent="0.3">
      <c r="B71" t="s">
        <v>35</v>
      </c>
      <c r="C71" t="s">
        <v>64</v>
      </c>
      <c r="D71" t="s">
        <v>36</v>
      </c>
      <c r="E71" t="s">
        <v>8</v>
      </c>
      <c r="F71" s="5" t="s">
        <v>62</v>
      </c>
      <c r="G71" s="2">
        <v>45182</v>
      </c>
      <c r="H71" s="4">
        <f t="shared" ca="1" si="8"/>
        <v>19</v>
      </c>
      <c r="I71" s="4">
        <f t="shared" ca="1" si="7"/>
        <v>133</v>
      </c>
      <c r="K71" s="4" t="str">
        <f t="shared" si="4"/>
        <v>-</v>
      </c>
      <c r="L71" t="s">
        <v>34</v>
      </c>
      <c r="M71" t="s">
        <v>40</v>
      </c>
      <c r="N71" s="2">
        <v>45212</v>
      </c>
      <c r="O71" s="2">
        <v>45278</v>
      </c>
      <c r="P71" t="s">
        <v>76</v>
      </c>
      <c r="Q71" t="s">
        <v>38</v>
      </c>
    </row>
    <row r="72" spans="2:17" hidden="1" x14ac:dyDescent="0.3">
      <c r="B72" t="s">
        <v>28</v>
      </c>
      <c r="C72" t="s">
        <v>64</v>
      </c>
      <c r="D72" t="s">
        <v>37</v>
      </c>
      <c r="E72" t="s">
        <v>8</v>
      </c>
      <c r="F72" s="5" t="s">
        <v>62</v>
      </c>
      <c r="G72" s="2">
        <v>45182</v>
      </c>
      <c r="H72" s="4">
        <f t="shared" ca="1" si="8"/>
        <v>19</v>
      </c>
      <c r="I72" s="4">
        <f t="shared" ca="1" si="7"/>
        <v>133</v>
      </c>
      <c r="K72" s="4" t="str">
        <f t="shared" si="4"/>
        <v>-</v>
      </c>
      <c r="L72" t="s">
        <v>34</v>
      </c>
      <c r="M72" t="s">
        <v>41</v>
      </c>
      <c r="N72" s="2">
        <v>45212</v>
      </c>
      <c r="O72" s="2">
        <v>45278</v>
      </c>
      <c r="P72" t="s">
        <v>76</v>
      </c>
      <c r="Q72" t="s">
        <v>39</v>
      </c>
    </row>
    <row r="73" spans="2:17" hidden="1" x14ac:dyDescent="0.3">
      <c r="B73" t="s">
        <v>28</v>
      </c>
      <c r="C73" t="s">
        <v>64</v>
      </c>
      <c r="D73" t="s">
        <v>29</v>
      </c>
      <c r="E73" t="s">
        <v>8</v>
      </c>
      <c r="F73" s="5" t="s">
        <v>62</v>
      </c>
      <c r="G73" s="2">
        <v>45182</v>
      </c>
      <c r="H73" s="4">
        <f t="shared" ca="1" si="8"/>
        <v>19</v>
      </c>
      <c r="I73" s="4">
        <f t="shared" ca="1" si="7"/>
        <v>133</v>
      </c>
      <c r="K73" s="4" t="str">
        <f t="shared" si="4"/>
        <v>-</v>
      </c>
      <c r="L73" t="s">
        <v>34</v>
      </c>
      <c r="M73" t="s">
        <v>41</v>
      </c>
      <c r="N73" s="2">
        <v>45212</v>
      </c>
      <c r="O73" s="2">
        <v>45275</v>
      </c>
      <c r="P73" t="s">
        <v>76</v>
      </c>
      <c r="Q73" t="s">
        <v>39</v>
      </c>
    </row>
    <row r="74" spans="2:17" hidden="1" x14ac:dyDescent="0.3">
      <c r="B74" t="s">
        <v>28</v>
      </c>
      <c r="C74" t="s">
        <v>64</v>
      </c>
      <c r="D74" t="s">
        <v>31</v>
      </c>
      <c r="E74" t="s">
        <v>8</v>
      </c>
      <c r="F74" s="5" t="s">
        <v>62</v>
      </c>
      <c r="G74" s="2">
        <v>45182</v>
      </c>
      <c r="H74" s="4">
        <f t="shared" ca="1" si="8"/>
        <v>19</v>
      </c>
      <c r="I74" s="4">
        <f t="shared" ca="1" si="7"/>
        <v>133</v>
      </c>
      <c r="K74" s="4" t="str">
        <f t="shared" si="4"/>
        <v>-</v>
      </c>
      <c r="L74" t="s">
        <v>34</v>
      </c>
      <c r="M74" t="s">
        <v>41</v>
      </c>
      <c r="N74" s="2">
        <v>45212</v>
      </c>
      <c r="O74" s="2">
        <v>45278</v>
      </c>
      <c r="P74" t="s">
        <v>76</v>
      </c>
      <c r="Q74" t="s">
        <v>39</v>
      </c>
    </row>
    <row r="75" spans="2:17" hidden="1" x14ac:dyDescent="0.3">
      <c r="B75" t="s">
        <v>35</v>
      </c>
      <c r="C75" t="s">
        <v>64</v>
      </c>
      <c r="D75" t="s">
        <v>30</v>
      </c>
      <c r="E75" t="s">
        <v>8</v>
      </c>
      <c r="F75" s="5" t="s">
        <v>62</v>
      </c>
      <c r="G75" s="2">
        <v>45182</v>
      </c>
      <c r="H75" s="4">
        <f t="shared" ca="1" si="8"/>
        <v>19</v>
      </c>
      <c r="I75" s="4">
        <f t="shared" ca="1" si="7"/>
        <v>133</v>
      </c>
      <c r="K75" s="4" t="str">
        <f t="shared" si="4"/>
        <v>-</v>
      </c>
      <c r="L75" t="s">
        <v>34</v>
      </c>
      <c r="M75" t="s">
        <v>41</v>
      </c>
      <c r="N75" s="2">
        <v>45212</v>
      </c>
      <c r="O75" s="2">
        <v>45274</v>
      </c>
      <c r="P75" t="s">
        <v>76</v>
      </c>
      <c r="Q75" t="s">
        <v>39</v>
      </c>
    </row>
    <row r="76" spans="2:17" hidden="1" x14ac:dyDescent="0.3">
      <c r="B76" t="s">
        <v>35</v>
      </c>
      <c r="C76" t="s">
        <v>64</v>
      </c>
      <c r="D76" t="s">
        <v>36</v>
      </c>
      <c r="E76" t="s">
        <v>8</v>
      </c>
      <c r="F76" s="5" t="s">
        <v>62</v>
      </c>
      <c r="G76" s="2">
        <v>45182</v>
      </c>
      <c r="H76" s="4">
        <f t="shared" ca="1" si="8"/>
        <v>19</v>
      </c>
      <c r="I76" s="4">
        <f t="shared" ca="1" si="7"/>
        <v>133</v>
      </c>
      <c r="K76" s="4" t="str">
        <f t="shared" si="4"/>
        <v>-</v>
      </c>
      <c r="L76" t="s">
        <v>34</v>
      </c>
      <c r="M76" t="s">
        <v>41</v>
      </c>
      <c r="N76" s="2">
        <v>45212</v>
      </c>
      <c r="O76" s="2">
        <v>45274</v>
      </c>
      <c r="P76" t="s">
        <v>76</v>
      </c>
      <c r="Q76" t="s">
        <v>39</v>
      </c>
    </row>
    <row r="77" spans="2:17" hidden="1" x14ac:dyDescent="0.3">
      <c r="B77" t="s">
        <v>28</v>
      </c>
      <c r="C77" t="s">
        <v>64</v>
      </c>
      <c r="D77" t="s">
        <v>37</v>
      </c>
      <c r="E77" t="s">
        <v>8</v>
      </c>
      <c r="F77" s="5" t="s">
        <v>62</v>
      </c>
      <c r="G77" s="2">
        <v>45182</v>
      </c>
      <c r="H77" s="4">
        <f t="shared" ca="1" si="8"/>
        <v>19</v>
      </c>
      <c r="I77" s="4">
        <f t="shared" ca="1" si="7"/>
        <v>133</v>
      </c>
      <c r="K77" s="4" t="str">
        <f t="shared" si="4"/>
        <v>-</v>
      </c>
      <c r="L77" t="s">
        <v>33</v>
      </c>
      <c r="M77" t="s">
        <v>48</v>
      </c>
      <c r="N77" s="2">
        <v>45212</v>
      </c>
      <c r="O77" s="2">
        <v>45278</v>
      </c>
      <c r="P77" t="s">
        <v>76</v>
      </c>
      <c r="Q77" t="s">
        <v>38</v>
      </c>
    </row>
    <row r="78" spans="2:17" hidden="1" x14ac:dyDescent="0.3">
      <c r="B78" t="s">
        <v>28</v>
      </c>
      <c r="C78" t="s">
        <v>64</v>
      </c>
      <c r="D78" t="s">
        <v>29</v>
      </c>
      <c r="E78" t="s">
        <v>8</v>
      </c>
      <c r="F78" s="5" t="s">
        <v>62</v>
      </c>
      <c r="G78" s="2">
        <v>45182</v>
      </c>
      <c r="H78" s="4">
        <f t="shared" ca="1" si="8"/>
        <v>19</v>
      </c>
      <c r="I78" s="4">
        <f t="shared" ca="1" si="7"/>
        <v>133</v>
      </c>
      <c r="K78" s="4" t="str">
        <f t="shared" si="4"/>
        <v>-</v>
      </c>
      <c r="L78" t="s">
        <v>33</v>
      </c>
      <c r="M78" t="s">
        <v>48</v>
      </c>
      <c r="N78" s="2">
        <v>45212</v>
      </c>
      <c r="O78" s="2">
        <v>45278</v>
      </c>
      <c r="P78" t="s">
        <v>76</v>
      </c>
      <c r="Q78" t="s">
        <v>38</v>
      </c>
    </row>
    <row r="79" spans="2:17" hidden="1" x14ac:dyDescent="0.3">
      <c r="B79" t="s">
        <v>28</v>
      </c>
      <c r="C79" t="s">
        <v>64</v>
      </c>
      <c r="D79" t="s">
        <v>31</v>
      </c>
      <c r="E79" t="s">
        <v>8</v>
      </c>
      <c r="F79" s="5" t="s">
        <v>62</v>
      </c>
      <c r="G79" s="2">
        <v>45182</v>
      </c>
      <c r="H79" s="4">
        <f t="shared" ca="1" si="8"/>
        <v>19</v>
      </c>
      <c r="I79" s="4">
        <f t="shared" ca="1" si="7"/>
        <v>133</v>
      </c>
      <c r="K79" s="4" t="str">
        <f t="shared" si="4"/>
        <v>-</v>
      </c>
      <c r="L79" t="s">
        <v>33</v>
      </c>
      <c r="M79" t="s">
        <v>48</v>
      </c>
      <c r="N79" s="2">
        <v>45212</v>
      </c>
      <c r="O79" s="2">
        <v>45278</v>
      </c>
      <c r="P79" t="s">
        <v>76</v>
      </c>
      <c r="Q79" t="s">
        <v>38</v>
      </c>
    </row>
    <row r="80" spans="2:17" hidden="1" x14ac:dyDescent="0.3">
      <c r="B80" t="s">
        <v>35</v>
      </c>
      <c r="C80" t="s">
        <v>64</v>
      </c>
      <c r="D80" t="s">
        <v>30</v>
      </c>
      <c r="E80" t="s">
        <v>8</v>
      </c>
      <c r="F80" s="5" t="s">
        <v>62</v>
      </c>
      <c r="G80" s="2">
        <v>45182</v>
      </c>
      <c r="H80" s="4">
        <f t="shared" ca="1" si="8"/>
        <v>19</v>
      </c>
      <c r="I80" s="4">
        <f t="shared" ca="1" si="7"/>
        <v>133</v>
      </c>
      <c r="K80" s="4" t="str">
        <f t="shared" si="4"/>
        <v>-</v>
      </c>
      <c r="L80" t="s">
        <v>33</v>
      </c>
      <c r="M80" t="s">
        <v>48</v>
      </c>
      <c r="N80" s="2">
        <v>45212</v>
      </c>
      <c r="O80" s="2">
        <v>45278</v>
      </c>
      <c r="P80" t="s">
        <v>76</v>
      </c>
      <c r="Q80" t="s">
        <v>38</v>
      </c>
    </row>
    <row r="81" spans="2:17" hidden="1" x14ac:dyDescent="0.3">
      <c r="B81" t="s">
        <v>35</v>
      </c>
      <c r="C81" t="s">
        <v>64</v>
      </c>
      <c r="D81" t="s">
        <v>36</v>
      </c>
      <c r="E81" t="s">
        <v>8</v>
      </c>
      <c r="F81" s="5" t="s">
        <v>62</v>
      </c>
      <c r="G81" s="2">
        <v>45182</v>
      </c>
      <c r="H81" s="4">
        <f t="shared" ca="1" si="8"/>
        <v>19</v>
      </c>
      <c r="I81" s="4">
        <f t="shared" ca="1" si="7"/>
        <v>133</v>
      </c>
      <c r="K81" s="4" t="str">
        <f t="shared" si="4"/>
        <v>-</v>
      </c>
      <c r="L81" t="s">
        <v>33</v>
      </c>
      <c r="M81" t="s">
        <v>48</v>
      </c>
      <c r="N81" s="2">
        <v>45212</v>
      </c>
      <c r="O81" s="2">
        <v>45278</v>
      </c>
      <c r="P81" t="s">
        <v>76</v>
      </c>
      <c r="Q81" t="s">
        <v>38</v>
      </c>
    </row>
    <row r="82" spans="2:17" hidden="1" x14ac:dyDescent="0.3">
      <c r="B82" t="s">
        <v>28</v>
      </c>
      <c r="C82" t="s">
        <v>64</v>
      </c>
      <c r="D82" t="s">
        <v>37</v>
      </c>
      <c r="E82" t="s">
        <v>8</v>
      </c>
      <c r="F82" s="5" t="s">
        <v>62</v>
      </c>
      <c r="G82" s="2">
        <v>45182</v>
      </c>
      <c r="H82" s="4">
        <f t="shared" ca="1" si="8"/>
        <v>19</v>
      </c>
      <c r="I82" s="4">
        <f t="shared" ca="1" si="7"/>
        <v>133</v>
      </c>
      <c r="K82" s="4" t="str">
        <f t="shared" si="4"/>
        <v>-</v>
      </c>
      <c r="L82" t="s">
        <v>33</v>
      </c>
      <c r="M82" t="s">
        <v>49</v>
      </c>
      <c r="N82" s="2">
        <v>45212</v>
      </c>
      <c r="O82" s="2">
        <v>45270</v>
      </c>
      <c r="P82" t="s">
        <v>76</v>
      </c>
      <c r="Q82" t="s">
        <v>39</v>
      </c>
    </row>
    <row r="83" spans="2:17" hidden="1" x14ac:dyDescent="0.3">
      <c r="B83" t="s">
        <v>28</v>
      </c>
      <c r="C83" t="s">
        <v>64</v>
      </c>
      <c r="D83" t="s">
        <v>29</v>
      </c>
      <c r="E83" t="s">
        <v>8</v>
      </c>
      <c r="F83" s="5" t="s">
        <v>62</v>
      </c>
      <c r="G83" s="2">
        <v>45182</v>
      </c>
      <c r="H83" s="4">
        <f t="shared" ca="1" si="8"/>
        <v>19</v>
      </c>
      <c r="I83" s="4">
        <f t="shared" ca="1" si="7"/>
        <v>133</v>
      </c>
      <c r="K83" s="4" t="str">
        <f t="shared" si="4"/>
        <v>-</v>
      </c>
      <c r="L83" t="s">
        <v>33</v>
      </c>
      <c r="M83" t="s">
        <v>49</v>
      </c>
      <c r="N83" s="2">
        <v>45212</v>
      </c>
      <c r="O83" s="2">
        <v>45270</v>
      </c>
      <c r="P83" t="s">
        <v>76</v>
      </c>
      <c r="Q83" t="s">
        <v>39</v>
      </c>
    </row>
    <row r="84" spans="2:17" hidden="1" x14ac:dyDescent="0.3">
      <c r="B84" t="s">
        <v>28</v>
      </c>
      <c r="C84" t="s">
        <v>64</v>
      </c>
      <c r="D84" t="s">
        <v>31</v>
      </c>
      <c r="E84" t="s">
        <v>8</v>
      </c>
      <c r="F84" s="5" t="s">
        <v>62</v>
      </c>
      <c r="G84" s="2">
        <v>45182</v>
      </c>
      <c r="H84" s="4">
        <f t="shared" ca="1" si="8"/>
        <v>19</v>
      </c>
      <c r="I84" s="4">
        <f t="shared" ca="1" si="7"/>
        <v>133</v>
      </c>
      <c r="K84" s="4" t="str">
        <f t="shared" si="4"/>
        <v>-</v>
      </c>
      <c r="L84" t="s">
        <v>33</v>
      </c>
      <c r="M84" t="s">
        <v>49</v>
      </c>
      <c r="N84" s="2">
        <v>45212</v>
      </c>
      <c r="O84" s="2">
        <v>45273</v>
      </c>
      <c r="P84" t="s">
        <v>76</v>
      </c>
      <c r="Q84" t="s">
        <v>39</v>
      </c>
    </row>
    <row r="85" spans="2:17" hidden="1" x14ac:dyDescent="0.3">
      <c r="B85" t="s">
        <v>35</v>
      </c>
      <c r="C85" t="s">
        <v>64</v>
      </c>
      <c r="D85" t="s">
        <v>30</v>
      </c>
      <c r="E85" t="s">
        <v>8</v>
      </c>
      <c r="F85" s="5" t="s">
        <v>62</v>
      </c>
      <c r="G85" s="2">
        <v>45182</v>
      </c>
      <c r="H85" s="4">
        <f t="shared" ca="1" si="8"/>
        <v>19</v>
      </c>
      <c r="I85" s="4">
        <f t="shared" ca="1" si="7"/>
        <v>133</v>
      </c>
      <c r="K85" s="4" t="str">
        <f t="shared" si="4"/>
        <v>-</v>
      </c>
      <c r="L85" t="s">
        <v>33</v>
      </c>
      <c r="M85" t="s">
        <v>49</v>
      </c>
      <c r="N85" s="2">
        <v>45212</v>
      </c>
      <c r="O85" s="2">
        <v>45277</v>
      </c>
      <c r="P85" t="s">
        <v>76</v>
      </c>
      <c r="Q85" t="s">
        <v>39</v>
      </c>
    </row>
    <row r="86" spans="2:17" hidden="1" x14ac:dyDescent="0.3">
      <c r="B86" t="s">
        <v>35</v>
      </c>
      <c r="C86" t="s">
        <v>64</v>
      </c>
      <c r="D86" t="s">
        <v>36</v>
      </c>
      <c r="E86" t="s">
        <v>8</v>
      </c>
      <c r="F86" s="5" t="s">
        <v>62</v>
      </c>
      <c r="G86" s="2">
        <v>45182</v>
      </c>
      <c r="H86" s="4">
        <f t="shared" ca="1" si="8"/>
        <v>19</v>
      </c>
      <c r="I86" s="4">
        <f t="shared" ca="1" si="7"/>
        <v>133</v>
      </c>
      <c r="K86" s="4" t="str">
        <f t="shared" si="4"/>
        <v>-</v>
      </c>
      <c r="L86" t="s">
        <v>33</v>
      </c>
      <c r="M86" t="s">
        <v>49</v>
      </c>
      <c r="N86" s="2">
        <v>45212</v>
      </c>
      <c r="O86" s="2">
        <v>45277</v>
      </c>
      <c r="P86" t="s">
        <v>76</v>
      </c>
      <c r="Q86" t="s">
        <v>39</v>
      </c>
    </row>
    <row r="87" spans="2:17" hidden="1" x14ac:dyDescent="0.3">
      <c r="B87" t="s">
        <v>28</v>
      </c>
      <c r="C87" t="s">
        <v>116</v>
      </c>
      <c r="D87" t="s">
        <v>29</v>
      </c>
      <c r="E87" t="s">
        <v>32</v>
      </c>
      <c r="F87" s="5" t="s">
        <v>120</v>
      </c>
      <c r="G87" s="2">
        <v>45238</v>
      </c>
      <c r="H87" s="4">
        <f t="shared" ca="1" si="8"/>
        <v>11</v>
      </c>
      <c r="I87" s="4">
        <f t="shared" ca="1" si="7"/>
        <v>77</v>
      </c>
      <c r="J87" s="2">
        <v>45272</v>
      </c>
      <c r="K87" s="4">
        <f t="shared" si="4"/>
        <v>34</v>
      </c>
      <c r="L87" t="s">
        <v>34</v>
      </c>
      <c r="M87" s="1" t="s">
        <v>43</v>
      </c>
      <c r="Q87" t="s">
        <v>108</v>
      </c>
    </row>
    <row r="88" spans="2:17" hidden="1" x14ac:dyDescent="0.3">
      <c r="B88" t="s">
        <v>35</v>
      </c>
      <c r="C88" t="s">
        <v>116</v>
      </c>
      <c r="D88" t="s">
        <v>31</v>
      </c>
      <c r="E88" t="s">
        <v>32</v>
      </c>
      <c r="F88" s="5" t="s">
        <v>120</v>
      </c>
      <c r="G88" s="2">
        <v>45238</v>
      </c>
      <c r="H88" s="4">
        <f t="shared" ca="1" si="8"/>
        <v>11</v>
      </c>
      <c r="I88" s="4">
        <f t="shared" ca="1" si="7"/>
        <v>77</v>
      </c>
      <c r="J88" s="2">
        <v>45273</v>
      </c>
      <c r="K88" s="4">
        <f t="shared" si="4"/>
        <v>35</v>
      </c>
      <c r="L88" t="s">
        <v>34</v>
      </c>
      <c r="M88" s="1" t="s">
        <v>43</v>
      </c>
      <c r="Q88" t="s">
        <v>109</v>
      </c>
    </row>
    <row r="89" spans="2:17" hidden="1" x14ac:dyDescent="0.3">
      <c r="B89" t="s">
        <v>35</v>
      </c>
      <c r="C89" t="s">
        <v>116</v>
      </c>
      <c r="D89" t="s">
        <v>30</v>
      </c>
      <c r="E89" t="s">
        <v>32</v>
      </c>
      <c r="F89" s="5" t="s">
        <v>120</v>
      </c>
      <c r="G89" s="2">
        <v>45238</v>
      </c>
      <c r="H89" s="4">
        <f t="shared" ca="1" si="8"/>
        <v>11</v>
      </c>
      <c r="I89" s="4">
        <f t="shared" ca="1" si="7"/>
        <v>77</v>
      </c>
      <c r="J89" s="2">
        <v>45274</v>
      </c>
      <c r="K89" s="4">
        <f t="shared" si="4"/>
        <v>36</v>
      </c>
      <c r="L89" t="s">
        <v>34</v>
      </c>
      <c r="M89" s="1" t="s">
        <v>43</v>
      </c>
      <c r="Q89" t="s">
        <v>110</v>
      </c>
    </row>
    <row r="90" spans="2:17" hidden="1" x14ac:dyDescent="0.3">
      <c r="B90" t="s">
        <v>28</v>
      </c>
      <c r="C90" t="s">
        <v>116</v>
      </c>
      <c r="D90" t="s">
        <v>29</v>
      </c>
      <c r="E90" t="s">
        <v>32</v>
      </c>
      <c r="F90" s="5" t="s">
        <v>120</v>
      </c>
      <c r="G90" s="2">
        <v>45238</v>
      </c>
      <c r="H90" s="4">
        <f t="shared" ca="1" si="8"/>
        <v>11</v>
      </c>
      <c r="I90" s="4">
        <f t="shared" ca="1" si="7"/>
        <v>77</v>
      </c>
      <c r="J90" s="2">
        <v>45275</v>
      </c>
      <c r="K90" s="4">
        <f t="shared" si="4"/>
        <v>37</v>
      </c>
      <c r="L90" t="s">
        <v>33</v>
      </c>
      <c r="M90" s="1" t="s">
        <v>42</v>
      </c>
      <c r="Q90" t="s">
        <v>107</v>
      </c>
    </row>
    <row r="91" spans="2:17" hidden="1" x14ac:dyDescent="0.3">
      <c r="B91" t="s">
        <v>28</v>
      </c>
      <c r="C91" t="s">
        <v>116</v>
      </c>
      <c r="D91" t="s">
        <v>31</v>
      </c>
      <c r="E91" t="s">
        <v>32</v>
      </c>
      <c r="F91" s="5" t="s">
        <v>120</v>
      </c>
      <c r="G91" s="2">
        <v>45238</v>
      </c>
      <c r="H91" s="4">
        <f t="shared" ca="1" si="8"/>
        <v>11</v>
      </c>
      <c r="I91" s="4">
        <f t="shared" ca="1" si="7"/>
        <v>77</v>
      </c>
      <c r="J91" s="2">
        <v>45276</v>
      </c>
      <c r="K91" s="4">
        <f t="shared" si="4"/>
        <v>38</v>
      </c>
      <c r="L91" t="s">
        <v>33</v>
      </c>
      <c r="M91" s="1" t="s">
        <v>42</v>
      </c>
      <c r="Q91" t="s">
        <v>108</v>
      </c>
    </row>
    <row r="92" spans="2:17" hidden="1" x14ac:dyDescent="0.3">
      <c r="B92" t="s">
        <v>28</v>
      </c>
      <c r="C92" t="s">
        <v>116</v>
      </c>
      <c r="D92" t="s">
        <v>30</v>
      </c>
      <c r="E92" t="s">
        <v>32</v>
      </c>
      <c r="F92" s="5" t="s">
        <v>120</v>
      </c>
      <c r="G92" s="2">
        <v>45238</v>
      </c>
      <c r="H92" s="4">
        <f t="shared" ref="H92:H93" ca="1" si="9">IF(QUOTIENT(_xlfn.DAYS(TODAY(),G92), 7)&lt;1000, QUOTIENT(_xlfn.DAYS(TODAY(),G92), 7), "-")</f>
        <v>11</v>
      </c>
      <c r="I92" s="4">
        <f t="shared" ref="I92:I93" ca="1" si="10">IF(_xlfn.DAYS(TODAY(),G92)&lt;10000, _xlfn.DAYS(TODAY(),G92), "-")</f>
        <v>77</v>
      </c>
      <c r="J92" s="2">
        <v>45277</v>
      </c>
      <c r="K92" s="4">
        <f t="shared" si="4"/>
        <v>39</v>
      </c>
      <c r="L92" t="s">
        <v>33</v>
      </c>
      <c r="M92" s="1" t="s">
        <v>42</v>
      </c>
      <c r="Q92" t="s">
        <v>109</v>
      </c>
    </row>
    <row r="93" spans="2:17" hidden="1" x14ac:dyDescent="0.3">
      <c r="B93" t="s">
        <v>35</v>
      </c>
      <c r="C93" t="s">
        <v>116</v>
      </c>
      <c r="D93" t="s">
        <v>36</v>
      </c>
      <c r="E93" t="s">
        <v>32</v>
      </c>
      <c r="F93" s="5" t="s">
        <v>120</v>
      </c>
      <c r="G93" s="2">
        <v>45238</v>
      </c>
      <c r="H93" s="4">
        <f t="shared" ca="1" si="9"/>
        <v>11</v>
      </c>
      <c r="I93" s="4">
        <f t="shared" ca="1" si="10"/>
        <v>77</v>
      </c>
      <c r="J93" s="2">
        <v>45278</v>
      </c>
      <c r="K93" s="4">
        <f t="shared" si="4"/>
        <v>40</v>
      </c>
      <c r="L93" t="s">
        <v>33</v>
      </c>
      <c r="M93" s="1" t="s">
        <v>42</v>
      </c>
      <c r="Q93" t="s">
        <v>110</v>
      </c>
    </row>
    <row r="94" spans="2:17" hidden="1" x14ac:dyDescent="0.3">
      <c r="B94" t="s">
        <v>35</v>
      </c>
      <c r="C94" t="s">
        <v>116</v>
      </c>
      <c r="D94">
        <v>615</v>
      </c>
      <c r="E94" t="s">
        <v>32</v>
      </c>
      <c r="F94" s="5" t="s">
        <v>120</v>
      </c>
      <c r="G94" s="2">
        <v>45202</v>
      </c>
      <c r="H94" s="4">
        <f t="shared" ref="H94" ca="1" si="11">IF(QUOTIENT(_xlfn.DAYS(TODAY(),G94), 7)&lt;1000, QUOTIENT(_xlfn.DAYS(TODAY(),G94), 7), "-")</f>
        <v>16</v>
      </c>
      <c r="I94" s="4">
        <f t="shared" ref="I94" ca="1" si="12">IF(_xlfn.DAYS(TODAY(),G94)&lt;10000, _xlfn.DAYS(TODAY(),G94), "-")</f>
        <v>113</v>
      </c>
      <c r="J94" s="2">
        <v>45223</v>
      </c>
      <c r="K94" s="4">
        <f t="shared" si="4"/>
        <v>21</v>
      </c>
      <c r="L94" t="s">
        <v>34</v>
      </c>
      <c r="M94" t="s">
        <v>44</v>
      </c>
      <c r="O94" s="2">
        <v>45301</v>
      </c>
      <c r="P94" t="s">
        <v>121</v>
      </c>
      <c r="Q94" t="s">
        <v>78</v>
      </c>
    </row>
    <row r="95" spans="2:17" hidden="1" x14ac:dyDescent="0.3">
      <c r="B95" t="s">
        <v>35</v>
      </c>
      <c r="C95" t="s">
        <v>116</v>
      </c>
      <c r="D95">
        <v>616</v>
      </c>
      <c r="E95" t="s">
        <v>32</v>
      </c>
      <c r="F95" s="5" t="s">
        <v>120</v>
      </c>
      <c r="G95" s="2">
        <v>45202</v>
      </c>
      <c r="H95" s="4">
        <f t="shared" ref="H95:H117" ca="1" si="13">IF(QUOTIENT(_xlfn.DAYS(TODAY(),G95), 7)&lt;1000, QUOTIENT(_xlfn.DAYS(TODAY(),G95), 7), "-")</f>
        <v>16</v>
      </c>
      <c r="I95" s="4">
        <f t="shared" ref="I95:I117" ca="1" si="14">IF(_xlfn.DAYS(TODAY(),G95)&lt;10000, _xlfn.DAYS(TODAY(),G95), "-")</f>
        <v>113</v>
      </c>
      <c r="J95" s="2">
        <v>45223</v>
      </c>
      <c r="K95" s="4">
        <f t="shared" ref="K95:K124" si="15">IF(_xlfn.DAYS(J95,G95)&gt;0, _xlfn.DAYS(J95,G95), "-")</f>
        <v>21</v>
      </c>
      <c r="L95" t="s">
        <v>34</v>
      </c>
      <c r="M95" t="s">
        <v>44</v>
      </c>
      <c r="O95" s="2">
        <v>45301</v>
      </c>
      <c r="P95" t="s">
        <v>121</v>
      </c>
      <c r="Q95" t="s">
        <v>78</v>
      </c>
    </row>
    <row r="96" spans="2:17" hidden="1" x14ac:dyDescent="0.3">
      <c r="B96" t="s">
        <v>35</v>
      </c>
      <c r="C96" t="s">
        <v>116</v>
      </c>
      <c r="D96">
        <v>617</v>
      </c>
      <c r="E96" t="s">
        <v>32</v>
      </c>
      <c r="F96" s="5" t="s">
        <v>120</v>
      </c>
      <c r="G96" s="2">
        <v>45202</v>
      </c>
      <c r="H96" s="4">
        <f t="shared" ca="1" si="13"/>
        <v>16</v>
      </c>
      <c r="I96" s="4">
        <f t="shared" ca="1" si="14"/>
        <v>113</v>
      </c>
      <c r="J96" s="2">
        <v>45223</v>
      </c>
      <c r="K96" s="4">
        <f t="shared" si="15"/>
        <v>21</v>
      </c>
      <c r="L96" t="s">
        <v>34</v>
      </c>
      <c r="M96" t="s">
        <v>44</v>
      </c>
      <c r="O96" s="2">
        <v>45301</v>
      </c>
      <c r="P96" t="s">
        <v>121</v>
      </c>
      <c r="Q96" t="s">
        <v>77</v>
      </c>
    </row>
    <row r="97" spans="2:17" hidden="1" x14ac:dyDescent="0.3">
      <c r="B97" t="s">
        <v>35</v>
      </c>
      <c r="C97" t="s">
        <v>116</v>
      </c>
      <c r="D97">
        <v>618</v>
      </c>
      <c r="E97" t="s">
        <v>32</v>
      </c>
      <c r="F97" s="5" t="s">
        <v>120</v>
      </c>
      <c r="G97" s="2">
        <v>45202</v>
      </c>
      <c r="H97" s="4">
        <f t="shared" ca="1" si="13"/>
        <v>16</v>
      </c>
      <c r="I97" s="4">
        <f t="shared" ca="1" si="14"/>
        <v>113</v>
      </c>
      <c r="J97" s="2">
        <v>45223</v>
      </c>
      <c r="K97" s="4">
        <f t="shared" si="15"/>
        <v>21</v>
      </c>
      <c r="L97" t="s">
        <v>34</v>
      </c>
      <c r="M97" t="s">
        <v>44</v>
      </c>
      <c r="O97" s="2">
        <v>45301</v>
      </c>
      <c r="P97" t="s">
        <v>121</v>
      </c>
      <c r="Q97" t="s">
        <v>77</v>
      </c>
    </row>
    <row r="98" spans="2:17" hidden="1" x14ac:dyDescent="0.3">
      <c r="B98" t="s">
        <v>35</v>
      </c>
      <c r="C98" t="s">
        <v>63</v>
      </c>
      <c r="D98" t="s">
        <v>37</v>
      </c>
      <c r="E98" t="s">
        <v>8</v>
      </c>
      <c r="F98" s="5" t="s">
        <v>62</v>
      </c>
      <c r="G98" s="2">
        <v>45229</v>
      </c>
      <c r="H98" s="4">
        <f t="shared" ref="H98:H107" ca="1" si="16">IF(QUOTIENT(_xlfn.DAYS(TODAY(),G98), 7)&lt;1000, QUOTIENT(_xlfn.DAYS(TODAY(),G98), 7), "-")</f>
        <v>12</v>
      </c>
      <c r="I98" s="4">
        <f t="shared" ref="I98:I107" ca="1" si="17">IF(_xlfn.DAYS(TODAY(),G98)&lt;10000, _xlfn.DAYS(TODAY(),G98), "-")</f>
        <v>86</v>
      </c>
      <c r="J98" s="2">
        <v>45267</v>
      </c>
      <c r="K98" s="4">
        <f t="shared" si="15"/>
        <v>38</v>
      </c>
      <c r="L98" t="s">
        <v>34</v>
      </c>
      <c r="M98" t="s">
        <v>50</v>
      </c>
      <c r="N98" s="2">
        <v>45278</v>
      </c>
      <c r="P98" s="2" t="s">
        <v>75</v>
      </c>
      <c r="Q98" s="2" t="s">
        <v>73</v>
      </c>
    </row>
    <row r="99" spans="2:17" hidden="1" x14ac:dyDescent="0.3">
      <c r="B99" t="s">
        <v>35</v>
      </c>
      <c r="C99" t="s">
        <v>63</v>
      </c>
      <c r="D99" t="s">
        <v>29</v>
      </c>
      <c r="E99" t="s">
        <v>8</v>
      </c>
      <c r="F99" s="5" t="s">
        <v>62</v>
      </c>
      <c r="G99" s="2">
        <v>45229</v>
      </c>
      <c r="H99" s="4">
        <f t="shared" ca="1" si="16"/>
        <v>12</v>
      </c>
      <c r="I99" s="4">
        <f t="shared" ca="1" si="17"/>
        <v>86</v>
      </c>
      <c r="J99" s="2">
        <v>45267</v>
      </c>
      <c r="K99" s="4">
        <f t="shared" si="15"/>
        <v>38</v>
      </c>
      <c r="L99" t="s">
        <v>34</v>
      </c>
      <c r="M99" t="s">
        <v>50</v>
      </c>
      <c r="N99" s="2">
        <v>45278</v>
      </c>
      <c r="P99" s="2" t="s">
        <v>75</v>
      </c>
      <c r="Q99" s="2" t="s">
        <v>73</v>
      </c>
    </row>
    <row r="100" spans="2:17" hidden="1" x14ac:dyDescent="0.3">
      <c r="B100" t="s">
        <v>35</v>
      </c>
      <c r="C100" t="s">
        <v>63</v>
      </c>
      <c r="D100" t="s">
        <v>31</v>
      </c>
      <c r="E100" t="s">
        <v>8</v>
      </c>
      <c r="F100" s="5" t="s">
        <v>62</v>
      </c>
      <c r="G100" s="2">
        <v>45229</v>
      </c>
      <c r="H100" s="4">
        <f t="shared" ca="1" si="16"/>
        <v>12</v>
      </c>
      <c r="I100" s="4">
        <f t="shared" ca="1" si="17"/>
        <v>86</v>
      </c>
      <c r="J100" s="2">
        <v>45267</v>
      </c>
      <c r="K100" s="4">
        <f t="shared" si="15"/>
        <v>38</v>
      </c>
      <c r="L100" t="s">
        <v>34</v>
      </c>
      <c r="M100" t="s">
        <v>50</v>
      </c>
      <c r="N100" s="2">
        <v>45278</v>
      </c>
      <c r="P100" s="2" t="s">
        <v>75</v>
      </c>
      <c r="Q100" s="2" t="s">
        <v>73</v>
      </c>
    </row>
    <row r="101" spans="2:17" hidden="1" x14ac:dyDescent="0.3">
      <c r="B101" t="s">
        <v>35</v>
      </c>
      <c r="C101" t="s">
        <v>63</v>
      </c>
      <c r="D101" t="s">
        <v>30</v>
      </c>
      <c r="E101" t="s">
        <v>8</v>
      </c>
      <c r="F101" s="5" t="s">
        <v>62</v>
      </c>
      <c r="G101" s="2">
        <v>45229</v>
      </c>
      <c r="H101" s="4">
        <f t="shared" ca="1" si="16"/>
        <v>12</v>
      </c>
      <c r="I101" s="4">
        <f t="shared" ca="1" si="17"/>
        <v>86</v>
      </c>
      <c r="J101" s="2">
        <v>45267</v>
      </c>
      <c r="K101" s="4">
        <f t="shared" si="15"/>
        <v>38</v>
      </c>
      <c r="L101" t="s">
        <v>34</v>
      </c>
      <c r="M101" t="s">
        <v>50</v>
      </c>
      <c r="N101" s="2">
        <v>45278</v>
      </c>
      <c r="P101" s="2" t="s">
        <v>75</v>
      </c>
      <c r="Q101" s="2" t="s">
        <v>73</v>
      </c>
    </row>
    <row r="102" spans="2:17" hidden="1" x14ac:dyDescent="0.3">
      <c r="B102" t="s">
        <v>35</v>
      </c>
      <c r="C102" t="s">
        <v>63</v>
      </c>
      <c r="D102" t="s">
        <v>36</v>
      </c>
      <c r="E102" t="s">
        <v>8</v>
      </c>
      <c r="F102" s="5" t="s">
        <v>62</v>
      </c>
      <c r="G102" s="2">
        <v>45229</v>
      </c>
      <c r="H102" s="4">
        <f t="shared" ca="1" si="16"/>
        <v>12</v>
      </c>
      <c r="I102" s="4">
        <f t="shared" ca="1" si="17"/>
        <v>86</v>
      </c>
      <c r="J102" s="2">
        <v>45267</v>
      </c>
      <c r="K102" s="4">
        <f t="shared" si="15"/>
        <v>38</v>
      </c>
      <c r="L102" t="s">
        <v>34</v>
      </c>
      <c r="M102" t="s">
        <v>50</v>
      </c>
      <c r="N102" s="2">
        <v>45278</v>
      </c>
      <c r="P102" s="2" t="s">
        <v>75</v>
      </c>
      <c r="Q102" s="2" t="s">
        <v>73</v>
      </c>
    </row>
    <row r="103" spans="2:17" hidden="1" x14ac:dyDescent="0.3">
      <c r="B103" t="s">
        <v>35</v>
      </c>
      <c r="C103" t="s">
        <v>63</v>
      </c>
      <c r="D103" t="s">
        <v>37</v>
      </c>
      <c r="E103" t="s">
        <v>8</v>
      </c>
      <c r="F103" s="5" t="s">
        <v>62</v>
      </c>
      <c r="G103" s="2">
        <v>45229</v>
      </c>
      <c r="H103" s="4">
        <f t="shared" ca="1" si="16"/>
        <v>12</v>
      </c>
      <c r="I103" s="4">
        <f t="shared" ca="1" si="17"/>
        <v>86</v>
      </c>
      <c r="J103" s="2">
        <v>45267</v>
      </c>
      <c r="K103" s="4">
        <f t="shared" si="15"/>
        <v>38</v>
      </c>
      <c r="L103" t="s">
        <v>34</v>
      </c>
      <c r="M103" t="s">
        <v>51</v>
      </c>
      <c r="N103" s="2">
        <v>45278</v>
      </c>
      <c r="P103" s="2" t="s">
        <v>75</v>
      </c>
      <c r="Q103" s="2" t="s">
        <v>74</v>
      </c>
    </row>
    <row r="104" spans="2:17" hidden="1" x14ac:dyDescent="0.3">
      <c r="B104" t="s">
        <v>35</v>
      </c>
      <c r="C104" t="s">
        <v>63</v>
      </c>
      <c r="D104" t="s">
        <v>29</v>
      </c>
      <c r="E104" t="s">
        <v>8</v>
      </c>
      <c r="F104" s="5" t="s">
        <v>62</v>
      </c>
      <c r="G104" s="2">
        <v>45229</v>
      </c>
      <c r="H104" s="4">
        <f t="shared" ca="1" si="16"/>
        <v>12</v>
      </c>
      <c r="I104" s="4">
        <f t="shared" ca="1" si="17"/>
        <v>86</v>
      </c>
      <c r="J104" s="2">
        <v>45267</v>
      </c>
      <c r="K104" s="4">
        <f t="shared" si="15"/>
        <v>38</v>
      </c>
      <c r="L104" t="s">
        <v>34</v>
      </c>
      <c r="M104" t="s">
        <v>51</v>
      </c>
      <c r="N104" s="2">
        <v>45278</v>
      </c>
      <c r="P104" s="2" t="s">
        <v>75</v>
      </c>
      <c r="Q104" s="2" t="s">
        <v>74</v>
      </c>
    </row>
    <row r="105" spans="2:17" hidden="1" x14ac:dyDescent="0.3">
      <c r="B105" t="s">
        <v>35</v>
      </c>
      <c r="C105" t="s">
        <v>63</v>
      </c>
      <c r="D105" t="s">
        <v>31</v>
      </c>
      <c r="E105" t="s">
        <v>8</v>
      </c>
      <c r="F105" s="5" t="s">
        <v>62</v>
      </c>
      <c r="G105" s="2">
        <v>45229</v>
      </c>
      <c r="H105" s="4">
        <f t="shared" ca="1" si="16"/>
        <v>12</v>
      </c>
      <c r="I105" s="4">
        <f t="shared" ca="1" si="17"/>
        <v>86</v>
      </c>
      <c r="J105" s="2">
        <v>45267</v>
      </c>
      <c r="K105" s="4">
        <f t="shared" si="15"/>
        <v>38</v>
      </c>
      <c r="L105" t="s">
        <v>34</v>
      </c>
      <c r="M105" t="s">
        <v>51</v>
      </c>
      <c r="N105" s="2">
        <v>45278</v>
      </c>
      <c r="P105" s="2" t="s">
        <v>75</v>
      </c>
      <c r="Q105" s="2" t="s">
        <v>74</v>
      </c>
    </row>
    <row r="106" spans="2:17" hidden="1" x14ac:dyDescent="0.3">
      <c r="B106" t="s">
        <v>35</v>
      </c>
      <c r="C106" t="s">
        <v>63</v>
      </c>
      <c r="D106" t="s">
        <v>30</v>
      </c>
      <c r="E106" t="s">
        <v>8</v>
      </c>
      <c r="F106" s="5" t="s">
        <v>62</v>
      </c>
      <c r="G106" s="2">
        <v>45229</v>
      </c>
      <c r="H106" s="4">
        <f t="shared" ca="1" si="16"/>
        <v>12</v>
      </c>
      <c r="I106" s="4">
        <f t="shared" ca="1" si="17"/>
        <v>86</v>
      </c>
      <c r="J106" s="2">
        <v>45267</v>
      </c>
      <c r="K106" s="4">
        <f t="shared" si="15"/>
        <v>38</v>
      </c>
      <c r="L106" t="s">
        <v>34</v>
      </c>
      <c r="M106" t="s">
        <v>51</v>
      </c>
      <c r="N106" s="2">
        <v>45278</v>
      </c>
      <c r="P106" s="2" t="s">
        <v>75</v>
      </c>
      <c r="Q106" s="2" t="s">
        <v>74</v>
      </c>
    </row>
    <row r="107" spans="2:17" hidden="1" x14ac:dyDescent="0.3">
      <c r="B107" t="s">
        <v>35</v>
      </c>
      <c r="C107" t="s">
        <v>63</v>
      </c>
      <c r="D107" t="s">
        <v>36</v>
      </c>
      <c r="E107" t="s">
        <v>8</v>
      </c>
      <c r="F107" s="5" t="s">
        <v>62</v>
      </c>
      <c r="G107" s="2">
        <v>45229</v>
      </c>
      <c r="H107" s="4">
        <f t="shared" ca="1" si="16"/>
        <v>12</v>
      </c>
      <c r="I107" s="4">
        <f t="shared" ca="1" si="17"/>
        <v>86</v>
      </c>
      <c r="J107" s="2">
        <v>45267</v>
      </c>
      <c r="K107" s="4">
        <f t="shared" si="15"/>
        <v>38</v>
      </c>
      <c r="L107" t="s">
        <v>34</v>
      </c>
      <c r="M107" t="s">
        <v>51</v>
      </c>
      <c r="N107" s="2">
        <v>45278</v>
      </c>
      <c r="P107" s="2" t="s">
        <v>75</v>
      </c>
      <c r="Q107" s="2" t="s">
        <v>74</v>
      </c>
    </row>
    <row r="108" spans="2:17" hidden="1" x14ac:dyDescent="0.3">
      <c r="B108" t="s">
        <v>35</v>
      </c>
      <c r="C108" t="s">
        <v>63</v>
      </c>
      <c r="D108">
        <v>951</v>
      </c>
      <c r="E108" t="s">
        <v>8</v>
      </c>
      <c r="F108" s="5" t="s">
        <v>62</v>
      </c>
      <c r="H108" s="4" t="str">
        <f t="shared" ca="1" si="13"/>
        <v>-</v>
      </c>
      <c r="I108" s="4" t="str">
        <f t="shared" ca="1" si="14"/>
        <v>-</v>
      </c>
      <c r="K108" s="4" t="str">
        <f t="shared" si="15"/>
        <v>-</v>
      </c>
      <c r="M108" t="s">
        <v>69</v>
      </c>
      <c r="O108" s="2">
        <v>45306</v>
      </c>
      <c r="P108" s="2" t="s">
        <v>71</v>
      </c>
      <c r="Q108" s="2" t="s">
        <v>85</v>
      </c>
    </row>
    <row r="109" spans="2:17" hidden="1" x14ac:dyDescent="0.3">
      <c r="B109" t="s">
        <v>35</v>
      </c>
      <c r="C109" t="s">
        <v>63</v>
      </c>
      <c r="D109">
        <v>954</v>
      </c>
      <c r="E109" t="s">
        <v>8</v>
      </c>
      <c r="F109" s="5" t="s">
        <v>62</v>
      </c>
      <c r="H109" s="4" t="str">
        <f t="shared" ca="1" si="13"/>
        <v>-</v>
      </c>
      <c r="I109" s="4" t="str">
        <f t="shared" ca="1" si="14"/>
        <v>-</v>
      </c>
      <c r="K109" s="4" t="str">
        <f t="shared" si="15"/>
        <v>-</v>
      </c>
      <c r="M109" t="s">
        <v>69</v>
      </c>
      <c r="O109" s="2">
        <v>45306</v>
      </c>
      <c r="P109" s="2" t="s">
        <v>71</v>
      </c>
      <c r="Q109" s="2" t="s">
        <v>85</v>
      </c>
    </row>
    <row r="110" spans="2:17" hidden="1" x14ac:dyDescent="0.3">
      <c r="B110" t="s">
        <v>35</v>
      </c>
      <c r="C110" t="s">
        <v>63</v>
      </c>
      <c r="D110">
        <v>957</v>
      </c>
      <c r="E110" t="s">
        <v>8</v>
      </c>
      <c r="F110" s="5" t="s">
        <v>62</v>
      </c>
      <c r="H110" s="4" t="str">
        <f t="shared" ca="1" si="13"/>
        <v>-</v>
      </c>
      <c r="I110" s="4" t="str">
        <f t="shared" ca="1" si="14"/>
        <v>-</v>
      </c>
      <c r="K110" s="4" t="str">
        <f t="shared" si="15"/>
        <v>-</v>
      </c>
      <c r="M110" t="s">
        <v>69</v>
      </c>
      <c r="O110" s="2">
        <v>45312</v>
      </c>
      <c r="P110" s="2" t="s">
        <v>71</v>
      </c>
      <c r="Q110" s="2" t="s">
        <v>85</v>
      </c>
    </row>
    <row r="111" spans="2:17" hidden="1" x14ac:dyDescent="0.3">
      <c r="B111" t="s">
        <v>35</v>
      </c>
      <c r="C111" t="s">
        <v>63</v>
      </c>
      <c r="D111">
        <v>960</v>
      </c>
      <c r="E111" t="s">
        <v>8</v>
      </c>
      <c r="F111" s="5" t="s">
        <v>62</v>
      </c>
      <c r="H111" s="4" t="str">
        <f t="shared" ca="1" si="13"/>
        <v>-</v>
      </c>
      <c r="I111" s="4" t="str">
        <f t="shared" ca="1" si="14"/>
        <v>-</v>
      </c>
      <c r="K111" s="4" t="str">
        <f t="shared" si="15"/>
        <v>-</v>
      </c>
      <c r="M111" t="s">
        <v>69</v>
      </c>
      <c r="O111" s="2">
        <v>45312</v>
      </c>
      <c r="P111" s="2" t="s">
        <v>71</v>
      </c>
      <c r="Q111" s="2" t="s">
        <v>85</v>
      </c>
    </row>
    <row r="112" spans="2:17" hidden="1" x14ac:dyDescent="0.3">
      <c r="B112" t="s">
        <v>35</v>
      </c>
      <c r="C112" t="s">
        <v>63</v>
      </c>
      <c r="D112">
        <v>952</v>
      </c>
      <c r="E112" t="s">
        <v>8</v>
      </c>
      <c r="F112" s="5" t="s">
        <v>62</v>
      </c>
      <c r="H112" s="4" t="str">
        <f t="shared" ca="1" si="13"/>
        <v>-</v>
      </c>
      <c r="I112" s="4" t="str">
        <f t="shared" ca="1" si="14"/>
        <v>-</v>
      </c>
      <c r="K112" s="4" t="str">
        <f t="shared" si="15"/>
        <v>-</v>
      </c>
      <c r="M112" t="s">
        <v>69</v>
      </c>
      <c r="O112" s="2">
        <v>45289</v>
      </c>
      <c r="P112" s="2" t="s">
        <v>71</v>
      </c>
      <c r="Q112" s="2" t="s">
        <v>86</v>
      </c>
    </row>
    <row r="113" spans="2:17" hidden="1" x14ac:dyDescent="0.3">
      <c r="B113" t="s">
        <v>35</v>
      </c>
      <c r="C113" t="s">
        <v>63</v>
      </c>
      <c r="D113">
        <v>955</v>
      </c>
      <c r="E113" t="s">
        <v>8</v>
      </c>
      <c r="F113" s="5" t="s">
        <v>62</v>
      </c>
      <c r="H113" s="4" t="str">
        <f t="shared" ca="1" si="13"/>
        <v>-</v>
      </c>
      <c r="I113" s="4" t="str">
        <f t="shared" ca="1" si="14"/>
        <v>-</v>
      </c>
      <c r="K113" s="4" t="str">
        <f t="shared" si="15"/>
        <v>-</v>
      </c>
      <c r="M113" t="s">
        <v>69</v>
      </c>
      <c r="O113" s="2">
        <v>45298</v>
      </c>
      <c r="P113" s="2" t="s">
        <v>71</v>
      </c>
      <c r="Q113" s="2" t="s">
        <v>86</v>
      </c>
    </row>
    <row r="114" spans="2:17" hidden="1" x14ac:dyDescent="0.3">
      <c r="B114" t="s">
        <v>35</v>
      </c>
      <c r="C114" t="s">
        <v>63</v>
      </c>
      <c r="D114">
        <v>958</v>
      </c>
      <c r="E114" t="s">
        <v>8</v>
      </c>
      <c r="F114" s="5" t="s">
        <v>62</v>
      </c>
      <c r="H114" s="4" t="str">
        <f t="shared" ca="1" si="13"/>
        <v>-</v>
      </c>
      <c r="I114" s="4" t="str">
        <f t="shared" ca="1" si="14"/>
        <v>-</v>
      </c>
      <c r="K114" s="4" t="str">
        <f t="shared" si="15"/>
        <v>-</v>
      </c>
      <c r="M114" t="s">
        <v>70</v>
      </c>
      <c r="O114" s="2">
        <v>45289</v>
      </c>
      <c r="P114" s="2" t="s">
        <v>71</v>
      </c>
      <c r="Q114" s="2" t="s">
        <v>86</v>
      </c>
    </row>
    <row r="115" spans="2:17" hidden="1" x14ac:dyDescent="0.3">
      <c r="B115" t="s">
        <v>35</v>
      </c>
      <c r="C115" t="s">
        <v>63</v>
      </c>
      <c r="D115">
        <v>961</v>
      </c>
      <c r="E115" t="s">
        <v>8</v>
      </c>
      <c r="F115" s="5" t="s">
        <v>62</v>
      </c>
      <c r="H115" s="4" t="str">
        <f t="shared" ca="1" si="13"/>
        <v>-</v>
      </c>
      <c r="I115" s="4" t="str">
        <f t="shared" ca="1" si="14"/>
        <v>-</v>
      </c>
      <c r="K115" s="4" t="str">
        <f t="shared" si="15"/>
        <v>-</v>
      </c>
      <c r="M115" t="s">
        <v>70</v>
      </c>
      <c r="P115" s="2" t="s">
        <v>71</v>
      </c>
      <c r="Q115" s="2" t="s">
        <v>86</v>
      </c>
    </row>
    <row r="116" spans="2:17" hidden="1" x14ac:dyDescent="0.3">
      <c r="B116" t="s">
        <v>35</v>
      </c>
      <c r="C116" t="s">
        <v>63</v>
      </c>
      <c r="D116">
        <v>953</v>
      </c>
      <c r="E116" t="s">
        <v>8</v>
      </c>
      <c r="F116" s="5" t="s">
        <v>62</v>
      </c>
      <c r="H116" s="4" t="str">
        <f t="shared" ca="1" si="13"/>
        <v>-</v>
      </c>
      <c r="I116" s="4" t="str">
        <f t="shared" ca="1" si="14"/>
        <v>-</v>
      </c>
      <c r="K116" s="4" t="str">
        <f t="shared" si="15"/>
        <v>-</v>
      </c>
      <c r="M116" t="s">
        <v>70</v>
      </c>
      <c r="O116" s="2">
        <v>45289</v>
      </c>
      <c r="P116" s="2" t="s">
        <v>71</v>
      </c>
      <c r="Q116" s="2" t="s">
        <v>87</v>
      </c>
    </row>
    <row r="117" spans="2:17" hidden="1" x14ac:dyDescent="0.3">
      <c r="B117" t="s">
        <v>35</v>
      </c>
      <c r="C117" t="s">
        <v>63</v>
      </c>
      <c r="D117">
        <v>956</v>
      </c>
      <c r="E117" t="s">
        <v>8</v>
      </c>
      <c r="F117" s="5" t="s">
        <v>62</v>
      </c>
      <c r="H117" s="4" t="str">
        <f t="shared" ca="1" si="13"/>
        <v>-</v>
      </c>
      <c r="I117" s="4" t="str">
        <f t="shared" ca="1" si="14"/>
        <v>-</v>
      </c>
      <c r="K117" s="4" t="str">
        <f t="shared" si="15"/>
        <v>-</v>
      </c>
      <c r="M117" t="s">
        <v>70</v>
      </c>
      <c r="O117" s="2">
        <v>45308</v>
      </c>
      <c r="P117" s="2" t="s">
        <v>71</v>
      </c>
      <c r="Q117" s="2" t="s">
        <v>87</v>
      </c>
    </row>
    <row r="118" spans="2:17" hidden="1" x14ac:dyDescent="0.3">
      <c r="B118" t="s">
        <v>35</v>
      </c>
      <c r="C118" t="s">
        <v>63</v>
      </c>
      <c r="D118">
        <v>959</v>
      </c>
      <c r="E118" t="s">
        <v>8</v>
      </c>
      <c r="F118" s="5" t="s">
        <v>62</v>
      </c>
      <c r="H118" s="4" t="str">
        <f t="shared" ref="H118:H124" ca="1" si="18">IF(QUOTIENT(_xlfn.DAYS(TODAY(),G118), 7)&lt;1000, QUOTIENT(_xlfn.DAYS(TODAY(),G118), 7), "-")</f>
        <v>-</v>
      </c>
      <c r="I118" s="4" t="str">
        <f t="shared" ref="I118:I124" ca="1" si="19">IF(_xlfn.DAYS(TODAY(),G118)&lt;10000, _xlfn.DAYS(TODAY(),G118), "-")</f>
        <v>-</v>
      </c>
      <c r="K118" s="4" t="str">
        <f t="shared" si="15"/>
        <v>-</v>
      </c>
      <c r="M118" t="s">
        <v>70</v>
      </c>
      <c r="O118" s="2">
        <v>45657</v>
      </c>
      <c r="P118" s="2" t="s">
        <v>71</v>
      </c>
      <c r="Q118" s="2" t="s">
        <v>87</v>
      </c>
    </row>
    <row r="119" spans="2:17" hidden="1" x14ac:dyDescent="0.3">
      <c r="B119" t="s">
        <v>35</v>
      </c>
      <c r="C119" t="s">
        <v>63</v>
      </c>
      <c r="D119">
        <v>962</v>
      </c>
      <c r="E119" t="s">
        <v>8</v>
      </c>
      <c r="F119" s="5" t="s">
        <v>62</v>
      </c>
      <c r="H119" s="4" t="str">
        <f t="shared" ca="1" si="18"/>
        <v>-</v>
      </c>
      <c r="I119" s="4" t="str">
        <f t="shared" ca="1" si="19"/>
        <v>-</v>
      </c>
      <c r="K119" s="4" t="str">
        <f t="shared" si="15"/>
        <v>-</v>
      </c>
      <c r="M119" t="s">
        <v>70</v>
      </c>
      <c r="O119" s="2">
        <v>45289</v>
      </c>
      <c r="P119" s="2" t="s">
        <v>71</v>
      </c>
      <c r="Q119" s="2" t="s">
        <v>87</v>
      </c>
    </row>
    <row r="120" spans="2:17" x14ac:dyDescent="0.3">
      <c r="B120" t="s">
        <v>93</v>
      </c>
      <c r="C120" t="s">
        <v>112</v>
      </c>
      <c r="E120" t="s">
        <v>94</v>
      </c>
      <c r="G120" s="2">
        <v>45291</v>
      </c>
      <c r="H120" s="4">
        <f t="shared" ca="1" si="18"/>
        <v>3</v>
      </c>
      <c r="I120" s="4">
        <f t="shared" ca="1" si="19"/>
        <v>24</v>
      </c>
      <c r="K120" s="4" t="str">
        <f t="shared" si="15"/>
        <v>-</v>
      </c>
      <c r="M120" t="s">
        <v>95</v>
      </c>
    </row>
    <row r="121" spans="2:17" x14ac:dyDescent="0.3">
      <c r="B121" t="s">
        <v>93</v>
      </c>
      <c r="C121" t="s">
        <v>112</v>
      </c>
      <c r="E121" t="s">
        <v>94</v>
      </c>
      <c r="G121" s="2">
        <v>45291</v>
      </c>
      <c r="H121" s="4">
        <f t="shared" ca="1" si="18"/>
        <v>3</v>
      </c>
      <c r="I121" s="4">
        <f t="shared" ca="1" si="19"/>
        <v>24</v>
      </c>
      <c r="K121" s="4" t="str">
        <f t="shared" si="15"/>
        <v>-</v>
      </c>
      <c r="M121" t="s">
        <v>95</v>
      </c>
    </row>
    <row r="122" spans="2:17" x14ac:dyDescent="0.3">
      <c r="B122" t="s">
        <v>93</v>
      </c>
      <c r="C122" t="s">
        <v>112</v>
      </c>
      <c r="E122" t="s">
        <v>94</v>
      </c>
      <c r="G122" s="2">
        <v>45291</v>
      </c>
      <c r="H122" s="4">
        <f t="shared" ca="1" si="18"/>
        <v>3</v>
      </c>
      <c r="I122" s="4">
        <f t="shared" ca="1" si="19"/>
        <v>24</v>
      </c>
      <c r="K122" s="4" t="str">
        <f t="shared" si="15"/>
        <v>-</v>
      </c>
      <c r="M122" t="s">
        <v>95</v>
      </c>
    </row>
    <row r="123" spans="2:17" x14ac:dyDescent="0.3">
      <c r="B123" t="s">
        <v>93</v>
      </c>
      <c r="C123" t="s">
        <v>112</v>
      </c>
      <c r="E123" t="s">
        <v>94</v>
      </c>
      <c r="G123" s="2">
        <v>45291</v>
      </c>
      <c r="H123" s="4">
        <f t="shared" ca="1" si="18"/>
        <v>3</v>
      </c>
      <c r="I123" s="4">
        <f t="shared" ca="1" si="19"/>
        <v>24</v>
      </c>
      <c r="K123" s="4" t="str">
        <f t="shared" si="15"/>
        <v>-</v>
      </c>
      <c r="M123" t="s">
        <v>95</v>
      </c>
    </row>
    <row r="124" spans="2:17" x14ac:dyDescent="0.3">
      <c r="B124" t="s">
        <v>123</v>
      </c>
      <c r="C124" t="s">
        <v>112</v>
      </c>
      <c r="E124" t="s">
        <v>16</v>
      </c>
      <c r="G124" s="2">
        <v>45304</v>
      </c>
      <c r="H124" s="4">
        <f t="shared" ca="1" si="18"/>
        <v>1</v>
      </c>
      <c r="I124" s="4">
        <f t="shared" ca="1" si="19"/>
        <v>11</v>
      </c>
      <c r="K124" s="4" t="str">
        <f t="shared" si="15"/>
        <v>-</v>
      </c>
      <c r="M124" t="s">
        <v>124</v>
      </c>
      <c r="Q124" t="s">
        <v>131</v>
      </c>
    </row>
    <row r="125" spans="2:17" x14ac:dyDescent="0.3">
      <c r="B125" t="s">
        <v>123</v>
      </c>
      <c r="C125" t="s">
        <v>112</v>
      </c>
      <c r="E125" t="s">
        <v>16</v>
      </c>
      <c r="G125" s="2">
        <v>45304</v>
      </c>
      <c r="H125" s="4">
        <f t="shared" ref="H125:H127" ca="1" si="20">IF(QUOTIENT(_xlfn.DAYS(TODAY(),G125), 7)&lt;1000, QUOTIENT(_xlfn.DAYS(TODAY(),G125), 7), "-")</f>
        <v>1</v>
      </c>
      <c r="I125" s="4">
        <f t="shared" ref="I125:I127" ca="1" si="21">IF(_xlfn.DAYS(TODAY(),G125)&lt;10000, _xlfn.DAYS(TODAY(),G125), "-")</f>
        <v>11</v>
      </c>
      <c r="M125" t="s">
        <v>124</v>
      </c>
      <c r="Q125" t="s">
        <v>131</v>
      </c>
    </row>
    <row r="126" spans="2:17" x14ac:dyDescent="0.3">
      <c r="B126" t="s">
        <v>123</v>
      </c>
      <c r="C126" t="s">
        <v>112</v>
      </c>
      <c r="E126" t="s">
        <v>16</v>
      </c>
      <c r="G126" s="2">
        <v>45304</v>
      </c>
      <c r="H126" s="4">
        <f t="shared" ca="1" si="20"/>
        <v>1</v>
      </c>
      <c r="I126" s="4">
        <f t="shared" ca="1" si="21"/>
        <v>11</v>
      </c>
      <c r="M126" t="s">
        <v>124</v>
      </c>
      <c r="Q126" t="s">
        <v>131</v>
      </c>
    </row>
    <row r="127" spans="2:17" x14ac:dyDescent="0.3">
      <c r="B127" t="s">
        <v>123</v>
      </c>
      <c r="C127" t="s">
        <v>112</v>
      </c>
      <c r="E127" t="s">
        <v>16</v>
      </c>
      <c r="G127" s="2">
        <v>45304</v>
      </c>
      <c r="H127" s="4">
        <f t="shared" ca="1" si="20"/>
        <v>1</v>
      </c>
      <c r="I127" s="4">
        <f t="shared" ca="1" si="21"/>
        <v>11</v>
      </c>
      <c r="M127" t="s">
        <v>124</v>
      </c>
      <c r="Q127" t="s">
        <v>131</v>
      </c>
    </row>
    <row r="128" spans="2:17" x14ac:dyDescent="0.3">
      <c r="B128" t="s">
        <v>125</v>
      </c>
      <c r="C128" t="s">
        <v>112</v>
      </c>
      <c r="E128" t="s">
        <v>16</v>
      </c>
      <c r="G128" s="2">
        <v>45309</v>
      </c>
      <c r="H128" s="4">
        <f t="shared" ref="H128:H130" ca="1" si="22">IF(QUOTIENT(_xlfn.DAYS(TODAY(),G128), 7)&lt;1000, QUOTIENT(_xlfn.DAYS(TODAY(),G128), 7), "-")</f>
        <v>0</v>
      </c>
      <c r="I128" s="4">
        <f t="shared" ref="I128:I130" ca="1" si="23">IF(_xlfn.DAYS(TODAY(),G128)&lt;10000, _xlfn.DAYS(TODAY(),G128), "-")</f>
        <v>6</v>
      </c>
      <c r="M128" t="s">
        <v>126</v>
      </c>
      <c r="Q128" t="s">
        <v>131</v>
      </c>
    </row>
    <row r="129" spans="2:17" x14ac:dyDescent="0.3">
      <c r="B129" t="s">
        <v>125</v>
      </c>
      <c r="C129" t="s">
        <v>112</v>
      </c>
      <c r="E129" t="s">
        <v>16</v>
      </c>
      <c r="G129" s="2">
        <v>45309</v>
      </c>
      <c r="H129" s="4">
        <f t="shared" ca="1" si="22"/>
        <v>0</v>
      </c>
      <c r="I129" s="4">
        <f t="shared" ca="1" si="23"/>
        <v>6</v>
      </c>
      <c r="M129" t="s">
        <v>126</v>
      </c>
      <c r="Q129" t="s">
        <v>131</v>
      </c>
    </row>
    <row r="130" spans="2:17" x14ac:dyDescent="0.3">
      <c r="B130" t="s">
        <v>125</v>
      </c>
      <c r="C130" t="s">
        <v>112</v>
      </c>
      <c r="E130" t="s">
        <v>16</v>
      </c>
      <c r="G130" s="2">
        <v>45309</v>
      </c>
      <c r="H130" s="4">
        <f t="shared" ca="1" si="22"/>
        <v>0</v>
      </c>
      <c r="I130" s="4">
        <f t="shared" ca="1" si="23"/>
        <v>6</v>
      </c>
      <c r="M130" t="s">
        <v>126</v>
      </c>
      <c r="Q130" t="s">
        <v>131</v>
      </c>
    </row>
  </sheetData>
  <autoFilter ref="B1:Q130" xr:uid="{47ECCD65-6802-4B2B-901A-AED4A431A765}">
    <filterColumn colId="0">
      <filters>
        <filter val="SPF"/>
      </filters>
    </filterColumn>
    <filterColumn colId="13">
      <filters blank="1"/>
    </filterColumn>
  </autoFilter>
  <phoneticPr fontId="1" type="noConversion"/>
  <dataValidations count="3">
    <dataValidation type="list" allowBlank="1" showInputMessage="1" showErrorMessage="1" sqref="E1:E1048576" xr:uid="{939E2B39-E841-4A9F-AD11-00C266DB2690}">
      <formula1>"Y, N"</formula1>
    </dataValidation>
    <dataValidation type="list" allowBlank="1" showInputMessage="1" showErrorMessage="1" sqref="L1:L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workbookViewId="0">
      <selection activeCell="J11" sqref="J11"/>
    </sheetView>
  </sheetViews>
  <sheetFormatPr defaultRowHeight="16.5" x14ac:dyDescent="0.3"/>
  <cols>
    <col min="3" max="3" width="27.75" customWidth="1"/>
    <col min="4" max="4" width="10.875" customWidth="1"/>
  </cols>
  <sheetData>
    <row r="2" spans="3:8" x14ac:dyDescent="0.3">
      <c r="D2" t="s">
        <v>91</v>
      </c>
      <c r="E2" t="s">
        <v>78</v>
      </c>
      <c r="G2" s="20" t="s">
        <v>92</v>
      </c>
      <c r="H2" s="20"/>
    </row>
    <row r="3" spans="3:8" x14ac:dyDescent="0.3">
      <c r="C3" t="s">
        <v>88</v>
      </c>
      <c r="D3" t="s">
        <v>90</v>
      </c>
      <c r="E3" s="5" t="s">
        <v>23</v>
      </c>
      <c r="G3" t="s">
        <v>90</v>
      </c>
      <c r="H3" s="5" t="s">
        <v>23</v>
      </c>
    </row>
    <row r="4" spans="3:8" x14ac:dyDescent="0.3">
      <c r="C4" t="s">
        <v>89</v>
      </c>
      <c r="D4" t="s">
        <v>90</v>
      </c>
      <c r="E4" s="5" t="s">
        <v>23</v>
      </c>
      <c r="G4" t="s">
        <v>90</v>
      </c>
      <c r="H4" s="5" t="s">
        <v>23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2024-01-04T14:28:05Z</cp:lastPrinted>
  <dcterms:created xsi:type="dcterms:W3CDTF">2023-12-15T07:54:27Z</dcterms:created>
  <dcterms:modified xsi:type="dcterms:W3CDTF">2024-01-24T05:55:39Z</dcterms:modified>
</cp:coreProperties>
</file>